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agriwatt.sharepoint.com/sites/AGRIWATT-RH/Documents partages/6_RH_Informations_Salariés/6.1 Formation/Formations salariés/Habilitations réglementaires et sécuritaires/"/>
    </mc:Choice>
  </mc:AlternateContent>
  <xr:revisionPtr revIDLastSave="5" documentId="8_{C26CB698-35E0-4F12-9C7D-AB9E4D2BF97D}" xr6:coauthVersionLast="47" xr6:coauthVersionMax="47" xr10:uidLastSave="{743D7B73-4A60-4ED4-93C3-57B25AFE0702}"/>
  <bookViews>
    <workbookView xWindow="-28920" yWindow="-90" windowWidth="29040" windowHeight="15720" xr2:uid="{9F9504DD-BD02-416C-9585-622FF53669FD}"/>
  </bookViews>
  <sheets>
    <sheet name="Synthese" sheetId="1" r:id="rId1"/>
  </sheets>
  <definedNames>
    <definedName name="_xlnm._FilterDatabase" localSheetId="0" hidden="1">Synthese!$A$6:$BH$77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A26" i="1"/>
  <c r="A10" i="1"/>
  <c r="A11" i="1"/>
  <c r="A12" i="1"/>
  <c r="A9" i="1"/>
  <c r="AB19" i="1"/>
  <c r="AB30" i="1" l="1"/>
  <c r="R53" i="1" l="1"/>
  <c r="S53" i="1" s="1"/>
  <c r="N16" i="1"/>
  <c r="AF59" i="1" l="1"/>
  <c r="AG59" i="1" s="1"/>
  <c r="AC59" i="1"/>
  <c r="X57" i="1" l="1"/>
  <c r="AF14" i="1"/>
  <c r="AG14" i="1" s="1"/>
  <c r="AB14" i="1" l="1"/>
  <c r="AC14" i="1" s="1"/>
  <c r="X42" i="1"/>
  <c r="N42" i="1"/>
  <c r="N59" i="1"/>
  <c r="R59" i="1" l="1"/>
  <c r="S59" i="1" s="1"/>
  <c r="R75" i="1"/>
  <c r="R64" i="1"/>
  <c r="R63" i="1"/>
  <c r="R30" i="1"/>
  <c r="R19" i="1"/>
  <c r="X59" i="1" l="1"/>
  <c r="R73" i="1"/>
  <c r="S73" i="1" s="1"/>
  <c r="R39" i="1"/>
  <c r="S39" i="1" s="1"/>
  <c r="N39" i="1"/>
  <c r="N14" i="1"/>
  <c r="R14" i="1"/>
  <c r="X14" i="1"/>
  <c r="AJ10" i="1"/>
  <c r="AK10" i="1" s="1"/>
  <c r="S14" i="1" l="1"/>
  <c r="X77" i="1"/>
  <c r="X54" i="1"/>
  <c r="X19" i="1"/>
  <c r="X20" i="1"/>
  <c r="R68" i="1"/>
  <c r="S68" i="1" s="1"/>
  <c r="AF58" i="1" l="1"/>
  <c r="AG58" i="1" s="1"/>
  <c r="R44" i="1"/>
  <c r="S44" i="1" s="1"/>
  <c r="N44" i="1"/>
  <c r="R54" i="1" l="1"/>
  <c r="S54" i="1" s="1"/>
  <c r="N65" i="1" l="1"/>
  <c r="A13" i="1" l="1"/>
  <c r="A14" i="1" s="1"/>
  <c r="AF33" i="1"/>
  <c r="AG33" i="1" s="1"/>
  <c r="A15" i="1" l="1"/>
  <c r="AB75" i="1"/>
  <c r="AB77" i="1"/>
  <c r="AB71" i="1"/>
  <c r="AB69" i="1"/>
  <c r="AB68" i="1"/>
  <c r="AB64" i="1"/>
  <c r="AB66" i="1"/>
  <c r="AB67" i="1"/>
  <c r="AB63" i="1"/>
  <c r="AB58" i="1"/>
  <c r="AC58" i="1" s="1"/>
  <c r="AB56" i="1"/>
  <c r="AB55" i="1"/>
  <c r="AB52" i="1"/>
  <c r="AB51" i="1"/>
  <c r="AB45" i="1"/>
  <c r="AB35" i="1"/>
  <c r="AB37" i="1"/>
  <c r="AC37" i="1" s="1"/>
  <c r="AB40" i="1"/>
  <c r="AB41" i="1"/>
  <c r="AB33" i="1"/>
  <c r="AB28" i="1"/>
  <c r="AB22" i="1"/>
  <c r="AB23" i="1"/>
  <c r="AB20" i="1"/>
  <c r="AB12" i="1"/>
  <c r="AB8" i="1"/>
  <c r="N73" i="1"/>
  <c r="AF37" i="1"/>
  <c r="AG37" i="1" s="1"/>
  <c r="R47" i="1"/>
  <c r="S47" i="1" s="1"/>
  <c r="A16" i="1" l="1"/>
  <c r="A17" i="1" s="1"/>
  <c r="A18" i="1" s="1"/>
  <c r="A19" i="1" s="1"/>
  <c r="A20" i="1" s="1"/>
  <c r="A21" i="1" s="1"/>
  <c r="A22" i="1" s="1"/>
  <c r="A23" i="1" s="1"/>
  <c r="N47" i="1"/>
  <c r="N49" i="1"/>
  <c r="R49" i="1"/>
  <c r="S49" i="1" s="1"/>
  <c r="R11" i="1"/>
  <c r="S11" i="1" s="1"/>
  <c r="N11" i="1"/>
  <c r="N75" i="1"/>
  <c r="A24" i="1" l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N43" i="1"/>
  <c r="N12" i="1"/>
  <c r="N13" i="1"/>
  <c r="R18" i="1"/>
  <c r="S18" i="1" s="1"/>
  <c r="A44" i="1" l="1"/>
  <c r="A45" i="1" s="1"/>
  <c r="A46" i="1" s="1"/>
  <c r="N18" i="1"/>
  <c r="A47" i="1" l="1"/>
  <c r="A48" i="1" s="1"/>
  <c r="A49" i="1" s="1"/>
  <c r="A50" i="1" s="1"/>
  <c r="A51" i="1" s="1"/>
  <c r="A52" i="1" s="1"/>
  <c r="N63" i="1"/>
  <c r="A53" i="1" l="1"/>
  <c r="A54" i="1" s="1"/>
  <c r="A55" i="1" s="1"/>
  <c r="A56" i="1" s="1"/>
  <c r="N61" i="1"/>
  <c r="N76" i="1"/>
  <c r="N36" i="1"/>
  <c r="N50" i="1"/>
  <c r="A57" i="1" l="1"/>
  <c r="A58" i="1" s="1"/>
  <c r="A59" i="1" s="1"/>
  <c r="A60" i="1" s="1"/>
  <c r="AC47" i="1"/>
  <c r="AC49" i="1"/>
  <c r="AF47" i="1"/>
  <c r="AG47" i="1" s="1"/>
  <c r="X47" i="1"/>
  <c r="AF49" i="1"/>
  <c r="AG49" i="1" s="1"/>
  <c r="X49" i="1"/>
  <c r="AF11" i="1"/>
  <c r="AG11" i="1" s="1"/>
  <c r="AC11" i="1"/>
  <c r="X11" i="1"/>
  <c r="AJ29" i="1"/>
  <c r="AK29" i="1" s="1"/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F45" i="1"/>
  <c r="AG45" i="1" s="1"/>
  <c r="X74" i="1" l="1"/>
  <c r="X18" i="1"/>
  <c r="X13" i="1"/>
  <c r="AF44" i="1" l="1"/>
  <c r="AG44" i="1" s="1"/>
  <c r="AB44" i="1"/>
  <c r="AC44" i="1" s="1"/>
  <c r="X44" i="1"/>
  <c r="AF72" i="1" l="1"/>
  <c r="AG72" i="1" s="1"/>
  <c r="AB72" i="1"/>
  <c r="AC72" i="1" s="1"/>
  <c r="R72" i="1"/>
  <c r="S72" i="1" s="1"/>
  <c r="X72" i="1"/>
  <c r="AC28" i="1" l="1"/>
  <c r="R69" i="1"/>
  <c r="S69" i="1" s="1"/>
  <c r="AC69" i="1"/>
  <c r="X68" i="1"/>
  <c r="R71" i="1"/>
  <c r="S71" i="1" s="1"/>
  <c r="N68" i="1"/>
  <c r="AF48" i="1" l="1"/>
  <c r="AG48" i="1" s="1"/>
  <c r="AC48" i="1"/>
  <c r="X48" i="1"/>
  <c r="R48" i="1"/>
  <c r="S48" i="1" s="1"/>
  <c r="N48" i="1"/>
  <c r="AF22" i="1" l="1"/>
  <c r="AG22" i="1" s="1"/>
  <c r="AC22" i="1"/>
  <c r="X22" i="1"/>
  <c r="R22" i="1"/>
  <c r="S22" i="1" s="1"/>
  <c r="N22" i="1"/>
  <c r="N54" i="1" l="1"/>
  <c r="AN27" i="1" l="1"/>
  <c r="AO27" i="1" s="1"/>
  <c r="AF77" i="1" l="1"/>
  <c r="AG77" i="1" s="1"/>
  <c r="AC77" i="1"/>
  <c r="R77" i="1"/>
  <c r="S77" i="1" s="1"/>
  <c r="N77" i="1"/>
  <c r="AC68" i="1" l="1"/>
  <c r="AJ68" i="1"/>
  <c r="AK68" i="1" s="1"/>
  <c r="N33" i="1" l="1"/>
  <c r="X65" i="1" l="1"/>
  <c r="R65" i="1"/>
  <c r="S65" i="1" s="1"/>
  <c r="AF71" i="1"/>
  <c r="AG71" i="1" s="1"/>
  <c r="AC71" i="1"/>
  <c r="N71" i="1"/>
  <c r="X71" i="1" l="1"/>
  <c r="N35" i="1"/>
  <c r="R35" i="1"/>
  <c r="S35" i="1" s="1"/>
  <c r="AF35" i="1"/>
  <c r="AG35" i="1" s="1"/>
  <c r="N66" i="1" l="1"/>
  <c r="R66" i="1"/>
  <c r="S66" i="1" s="1"/>
  <c r="AC66" i="1"/>
  <c r="AF66" i="1"/>
  <c r="AG66" i="1" s="1"/>
  <c r="AC8" i="1"/>
  <c r="X8" i="1" l="1"/>
  <c r="N8" i="1"/>
  <c r="N26" i="1" l="1"/>
  <c r="AF69" i="1"/>
  <c r="AG69" i="1" s="1"/>
  <c r="X35" i="1" l="1"/>
  <c r="AC35" i="1"/>
  <c r="N52" i="1" l="1"/>
  <c r="R52" i="1"/>
  <c r="S52" i="1" s="1"/>
  <c r="X52" i="1"/>
  <c r="AC52" i="1"/>
  <c r="AF52" i="1"/>
  <c r="AG52" i="1" s="1"/>
  <c r="R8" i="1"/>
  <c r="S8" i="1" s="1"/>
  <c r="N24" i="1"/>
  <c r="N19" i="1"/>
  <c r="N60" i="1" l="1"/>
  <c r="X66" i="1" l="1"/>
  <c r="AF8" i="1"/>
  <c r="AG8" i="1" s="1"/>
  <c r="AF12" i="1" l="1"/>
  <c r="AG12" i="1" s="1"/>
  <c r="AC12" i="1"/>
  <c r="R12" i="1"/>
  <c r="S12" i="1" s="1"/>
  <c r="X12" i="1"/>
  <c r="N51" i="1" l="1"/>
  <c r="R51" i="1"/>
  <c r="S51" i="1" s="1"/>
  <c r="X51" i="1"/>
  <c r="AC51" i="1"/>
  <c r="AF51" i="1"/>
  <c r="AG51" i="1" s="1"/>
  <c r="N37" i="1"/>
  <c r="AC33" i="1"/>
  <c r="AC30" i="1"/>
  <c r="X33" i="1"/>
  <c r="R33" i="1"/>
  <c r="S33" i="1" s="1"/>
  <c r="N74" i="1"/>
  <c r="N55" i="1"/>
  <c r="N56" i="1"/>
  <c r="N57" i="1"/>
  <c r="N58" i="1"/>
  <c r="N62" i="1"/>
  <c r="N64" i="1"/>
  <c r="N67" i="1"/>
  <c r="X67" i="1"/>
  <c r="X46" i="1"/>
  <c r="X75" i="1"/>
  <c r="X70" i="1"/>
  <c r="X69" i="1"/>
  <c r="X64" i="1"/>
  <c r="X58" i="1"/>
  <c r="X56" i="1"/>
  <c r="X55" i="1"/>
  <c r="X45" i="1"/>
  <c r="X41" i="1"/>
  <c r="X40" i="1"/>
  <c r="X37" i="1"/>
  <c r="X30" i="1"/>
  <c r="X28" i="1"/>
  <c r="X23" i="1"/>
  <c r="X21" i="1"/>
  <c r="N70" i="1"/>
  <c r="N69" i="1"/>
  <c r="N46" i="1"/>
  <c r="N45" i="1"/>
  <c r="N41" i="1"/>
  <c r="N40" i="1"/>
  <c r="N28" i="1"/>
  <c r="N23" i="1"/>
  <c r="N21" i="1"/>
  <c r="N20" i="1"/>
  <c r="AJ15" i="1"/>
  <c r="AK15" i="1" s="1"/>
  <c r="AN50" i="1"/>
  <c r="AO50" i="1" s="1"/>
  <c r="AJ46" i="1"/>
  <c r="AK46" i="1" s="1"/>
  <c r="AJ21" i="1"/>
  <c r="AK21" i="1" s="1"/>
  <c r="AF19" i="1"/>
  <c r="AG19" i="1" s="1"/>
  <c r="AF20" i="1"/>
  <c r="AG20" i="1" s="1"/>
  <c r="AF23" i="1"/>
  <c r="AG23" i="1" s="1"/>
  <c r="AF30" i="1"/>
  <c r="AG30" i="1" s="1"/>
  <c r="AF40" i="1"/>
  <c r="AG40" i="1" s="1"/>
  <c r="AF41" i="1"/>
  <c r="AG41" i="1" s="1"/>
  <c r="AF55" i="1"/>
  <c r="AG55" i="1" s="1"/>
  <c r="AF56" i="1"/>
  <c r="AG56" i="1" s="1"/>
  <c r="AF63" i="1"/>
  <c r="AG63" i="1" s="1"/>
  <c r="AF64" i="1"/>
  <c r="AG64" i="1" s="1"/>
  <c r="AF75" i="1"/>
  <c r="AG75" i="1" s="1"/>
  <c r="R37" i="1"/>
  <c r="S37" i="1" s="1"/>
  <c r="R40" i="1"/>
  <c r="S40" i="1" s="1"/>
  <c r="R41" i="1"/>
  <c r="S41" i="1" s="1"/>
  <c r="R45" i="1"/>
  <c r="S45" i="1" s="1"/>
  <c r="R46" i="1"/>
  <c r="S46" i="1" s="1"/>
  <c r="R55" i="1"/>
  <c r="S55" i="1" s="1"/>
  <c r="R56" i="1"/>
  <c r="S56" i="1" s="1"/>
  <c r="R57" i="1"/>
  <c r="S57" i="1" s="1"/>
  <c r="R58" i="1"/>
  <c r="S58" i="1" s="1"/>
  <c r="R60" i="1"/>
  <c r="S60" i="1" s="1"/>
  <c r="R62" i="1"/>
  <c r="S62" i="1" s="1"/>
  <c r="S63" i="1"/>
  <c r="S64" i="1"/>
  <c r="R67" i="1"/>
  <c r="S67" i="1" s="1"/>
  <c r="R70" i="1"/>
  <c r="S70" i="1" s="1"/>
  <c r="R74" i="1"/>
  <c r="S74" i="1" s="1"/>
  <c r="S75" i="1"/>
  <c r="R13" i="1"/>
  <c r="S13" i="1" s="1"/>
  <c r="S19" i="1"/>
  <c r="R20" i="1"/>
  <c r="S20" i="1" s="1"/>
  <c r="R21" i="1"/>
  <c r="S21" i="1" s="1"/>
  <c r="R23" i="1"/>
  <c r="S23" i="1" s="1"/>
  <c r="R28" i="1"/>
  <c r="S28" i="1" s="1"/>
  <c r="S30" i="1"/>
  <c r="AC55" i="1"/>
  <c r="AC63" i="1"/>
  <c r="AC64" i="1"/>
  <c r="AC67" i="1"/>
  <c r="AC75" i="1"/>
  <c r="AC40" i="1"/>
  <c r="AC41" i="1"/>
  <c r="AC45" i="1"/>
  <c r="AC23" i="1"/>
  <c r="AC20" i="1"/>
  <c r="AC19" i="1"/>
</calcChain>
</file>

<file path=xl/sharedStrings.xml><?xml version="1.0" encoding="utf-8"?>
<sst xmlns="http://schemas.openxmlformats.org/spreadsheetml/2006/main" count="587" uniqueCount="253">
  <si>
    <t>SUIVI DES HABILITATIONS REGLEMENTAIRES</t>
  </si>
  <si>
    <t>HABILITATION ELECTRIQUE</t>
  </si>
  <si>
    <t>AIPR</t>
  </si>
  <si>
    <t>TRAVAIL EN HAUTEUR</t>
  </si>
  <si>
    <t>CACES R486 NACELLE (R386)</t>
  </si>
  <si>
    <t>CACES R482 TELESCOPIQUE (R382-R372)</t>
  </si>
  <si>
    <t>CACES CARISTE FRONTAL - R489 (R389)</t>
  </si>
  <si>
    <t>CACES CARISTE GERBEUR - R485</t>
  </si>
  <si>
    <t>PERMIS E</t>
  </si>
  <si>
    <t>Formation Grue Bocker</t>
  </si>
  <si>
    <t>EPI</t>
  </si>
  <si>
    <t>SST</t>
  </si>
  <si>
    <t>IRVE</t>
  </si>
  <si>
    <t>ECHAFAUDAGE</t>
  </si>
  <si>
    <t>Nom</t>
  </si>
  <si>
    <t>Prénom</t>
  </si>
  <si>
    <t>Département</t>
  </si>
  <si>
    <t>Fonction</t>
  </si>
  <si>
    <t>Date d'entrée</t>
  </si>
  <si>
    <t>N+1</t>
  </si>
  <si>
    <t>N+2</t>
  </si>
  <si>
    <t>Site</t>
  </si>
  <si>
    <t>Date de VM</t>
  </si>
  <si>
    <t>Date de formation initiale</t>
  </si>
  <si>
    <t>Date du dernier recyclage</t>
  </si>
  <si>
    <t>Date de validité 
(3 ans)</t>
  </si>
  <si>
    <t>Lancer le recyclage avant le</t>
  </si>
  <si>
    <t>Habilitation BP / PV</t>
  </si>
  <si>
    <t>Autorisation interne signée</t>
  </si>
  <si>
    <t>Date de validité 
 (5 ans)</t>
  </si>
  <si>
    <t>Date de formation initiale (niveau 1)</t>
  </si>
  <si>
    <t>Date de formation initiale (niveau 2)</t>
  </si>
  <si>
    <t>Date de validité
 (3 ans)</t>
  </si>
  <si>
    <t>Date de validité (5ans)</t>
  </si>
  <si>
    <t>Date de validité 
 (10 ans)</t>
  </si>
  <si>
    <t>Date de validité 
 (1 an)</t>
  </si>
  <si>
    <t>Date de validité 
 (2 ans)</t>
  </si>
  <si>
    <t>Date de validité 
 (3 ans)</t>
  </si>
  <si>
    <t>3a</t>
  </si>
  <si>
    <t>3b</t>
  </si>
  <si>
    <t>Fixe</t>
  </si>
  <si>
    <t>Roulant</t>
  </si>
  <si>
    <t>AIRECHE</t>
  </si>
  <si>
    <t>Samir Youcef</t>
  </si>
  <si>
    <t>Travaux</t>
  </si>
  <si>
    <t>Electricien</t>
  </si>
  <si>
    <t>SIEBENALER Julien</t>
  </si>
  <si>
    <t>LY Olivier</t>
  </si>
  <si>
    <t>BOUXIERES</t>
  </si>
  <si>
    <t>BAILLET</t>
  </si>
  <si>
    <t>Rémi</t>
  </si>
  <si>
    <t>Achats</t>
  </si>
  <si>
    <t>Magasinier</t>
  </si>
  <si>
    <t>DEBETTE Frédéric</t>
  </si>
  <si>
    <t>PAQUET Anne-Laure</t>
  </si>
  <si>
    <t>VERVINS</t>
  </si>
  <si>
    <t>Commercial</t>
  </si>
  <si>
    <t>Chargé d'Affaires</t>
  </si>
  <si>
    <t>DE CHILLAZ Grégoire</t>
  </si>
  <si>
    <t>BARTHELOT</t>
  </si>
  <si>
    <t>Russel</t>
  </si>
  <si>
    <t>Technicien PV</t>
  </si>
  <si>
    <t>BOULANGER Jérémy</t>
  </si>
  <si>
    <t>SECLIN</t>
  </si>
  <si>
    <t>BELHENINI</t>
  </si>
  <si>
    <t>Boucif</t>
  </si>
  <si>
    <t>BEN AMMAR</t>
  </si>
  <si>
    <t>Hichem</t>
  </si>
  <si>
    <t>BE</t>
  </si>
  <si>
    <t>Ingénieur Projet</t>
  </si>
  <si>
    <t>HESSE Julien</t>
  </si>
  <si>
    <t>Hors AGW</t>
  </si>
  <si>
    <t>BENRAMDANE</t>
  </si>
  <si>
    <t>Adam</t>
  </si>
  <si>
    <t>QUENEUTTE Benoit</t>
  </si>
  <si>
    <t>BERTRAND</t>
  </si>
  <si>
    <t>Pauline</t>
  </si>
  <si>
    <t>Assistante Achats</t>
  </si>
  <si>
    <t>BOIRAT</t>
  </si>
  <si>
    <t>William</t>
  </si>
  <si>
    <t>CUVELIER Maxime</t>
  </si>
  <si>
    <t>BOUDET</t>
  </si>
  <si>
    <t>Axelle</t>
  </si>
  <si>
    <t>Finances</t>
  </si>
  <si>
    <t>Chargée de facturation</t>
  </si>
  <si>
    <t>BOULANGER</t>
  </si>
  <si>
    <t>Jérémy</t>
  </si>
  <si>
    <t>Conducteur Travaux</t>
  </si>
  <si>
    <t>BOURDAUD'HUI</t>
  </si>
  <si>
    <t>Antoine</t>
  </si>
  <si>
    <t>Chef d'équipe</t>
  </si>
  <si>
    <t>BURKARTH</t>
  </si>
  <si>
    <t>Kévin</t>
  </si>
  <si>
    <t>Maintenance</t>
  </si>
  <si>
    <t>Technicien Maintenance</t>
  </si>
  <si>
    <t>BURTIN Sébastien</t>
  </si>
  <si>
    <t>BURTIN</t>
  </si>
  <si>
    <t>Sébastien</t>
  </si>
  <si>
    <t xml:space="preserve">Conducteur Maintenance </t>
  </si>
  <si>
    <t>CARPENTIER</t>
  </si>
  <si>
    <t>Yohan</t>
  </si>
  <si>
    <t>à lancer</t>
  </si>
  <si>
    <t xml:space="preserve">CATILLON </t>
  </si>
  <si>
    <t>Cédric</t>
  </si>
  <si>
    <t>CHOMBART</t>
  </si>
  <si>
    <t>Simon</t>
  </si>
  <si>
    <t>DELEBASSE Amélie</t>
  </si>
  <si>
    <t>CUVELIER</t>
  </si>
  <si>
    <t>Maxime</t>
  </si>
  <si>
    <t>Responsable HDF</t>
  </si>
  <si>
    <t>DEBETTE</t>
  </si>
  <si>
    <t>Frédéric</t>
  </si>
  <si>
    <t>Responsable Achats</t>
  </si>
  <si>
    <t>DEBLOCK</t>
  </si>
  <si>
    <t>Julien</t>
  </si>
  <si>
    <t>DEMIRCAN</t>
  </si>
  <si>
    <t>Bulent</t>
  </si>
  <si>
    <t xml:space="preserve">DIDELOT </t>
  </si>
  <si>
    <t>Dorian</t>
  </si>
  <si>
    <t>FAGLIN</t>
  </si>
  <si>
    <t>Germain</t>
  </si>
  <si>
    <t>27&amp;28/05/26</t>
  </si>
  <si>
    <t>FLAMANT</t>
  </si>
  <si>
    <t>Ludivine</t>
  </si>
  <si>
    <t>Assistante commerciale</t>
  </si>
  <si>
    <t>FOUCONNIER</t>
  </si>
  <si>
    <t>Jérôme</t>
  </si>
  <si>
    <t>CATILLON Cédric</t>
  </si>
  <si>
    <t>FRANCOIS</t>
  </si>
  <si>
    <t>Mathieu</t>
  </si>
  <si>
    <t>Ingénieur Maintenance</t>
  </si>
  <si>
    <t>SANDERS Maxime</t>
  </si>
  <si>
    <t>GUILLAUME</t>
  </si>
  <si>
    <t>Benjamin</t>
  </si>
  <si>
    <t>HAMES</t>
  </si>
  <si>
    <t>Responsable planning</t>
  </si>
  <si>
    <t>HAMOU ALDJA</t>
  </si>
  <si>
    <t>Siham</t>
  </si>
  <si>
    <t>Responsable BE</t>
  </si>
  <si>
    <t>HARDY</t>
  </si>
  <si>
    <t>Théo</t>
  </si>
  <si>
    <t>DIDELOT Dorian</t>
  </si>
  <si>
    <t>DEBLOCK Julien</t>
  </si>
  <si>
    <t>HIRAUX</t>
  </si>
  <si>
    <t>BOURDAUD'HUI Antoine</t>
  </si>
  <si>
    <t>Romain</t>
  </si>
  <si>
    <t>HOCEDEZ</t>
  </si>
  <si>
    <t>Thibault</t>
  </si>
  <si>
    <t>HSE</t>
  </si>
  <si>
    <t>Responsable QHSE</t>
  </si>
  <si>
    <t>HOULLIER</t>
  </si>
  <si>
    <t>Virginie</t>
  </si>
  <si>
    <t>Assistante Maintenance</t>
  </si>
  <si>
    <t>HUCKEN</t>
  </si>
  <si>
    <t>Loïc</t>
  </si>
  <si>
    <t>HULEUX</t>
  </si>
  <si>
    <t>Franck</t>
  </si>
  <si>
    <t>HURIEZ</t>
  </si>
  <si>
    <t>Jonathan</t>
  </si>
  <si>
    <t>JAAOURA</t>
  </si>
  <si>
    <t>El Miloud</t>
  </si>
  <si>
    <t>JOVET</t>
  </si>
  <si>
    <t>Noam</t>
  </si>
  <si>
    <t>KADMIRI</t>
  </si>
  <si>
    <t>Samir</t>
  </si>
  <si>
    <t>KANDEMIR</t>
  </si>
  <si>
    <t>Haydar</t>
  </si>
  <si>
    <t>Assistant Maintenance</t>
  </si>
  <si>
    <t>KARQUEL</t>
  </si>
  <si>
    <t>Matthieu</t>
  </si>
  <si>
    <t xml:space="preserve">KLEISCHE </t>
  </si>
  <si>
    <t>Anthony</t>
  </si>
  <si>
    <t>planifié le 8/06</t>
  </si>
  <si>
    <t>LAFOND</t>
  </si>
  <si>
    <t>Xavier</t>
  </si>
  <si>
    <t>Ingénieur BE</t>
  </si>
  <si>
    <t>HAMOU ALDJA Siham</t>
  </si>
  <si>
    <t>LAMY</t>
  </si>
  <si>
    <t>HURIEZ Jonathan</t>
  </si>
  <si>
    <t>LAPIED</t>
  </si>
  <si>
    <t xml:space="preserve">Théo </t>
  </si>
  <si>
    <t>ADAM Bruno</t>
  </si>
  <si>
    <t>LION</t>
  </si>
  <si>
    <t>Corentin</t>
  </si>
  <si>
    <t>LY</t>
  </si>
  <si>
    <t>Olivier</t>
  </si>
  <si>
    <t>Directeur Travaux</t>
  </si>
  <si>
    <t>MANSIAUX</t>
  </si>
  <si>
    <t>Miguel</t>
  </si>
  <si>
    <t>TUOT Jules</t>
  </si>
  <si>
    <t>MAQUA</t>
  </si>
  <si>
    <t>24 au 26/11/2025</t>
  </si>
  <si>
    <t>OZTURK</t>
  </si>
  <si>
    <t>Yunus</t>
  </si>
  <si>
    <t>Assistant BE</t>
  </si>
  <si>
    <t>PELCAT</t>
  </si>
  <si>
    <t>NORMANDIE</t>
  </si>
  <si>
    <t>PLICHON</t>
  </si>
  <si>
    <t>Métreur</t>
  </si>
  <si>
    <t>POTIN</t>
  </si>
  <si>
    <t>Fabien</t>
  </si>
  <si>
    <t>PLICHON Corentin</t>
  </si>
  <si>
    <t>plus besoin</t>
  </si>
  <si>
    <t>Thomas</t>
  </si>
  <si>
    <t>QUENEUTTE</t>
  </si>
  <si>
    <t>Benoit</t>
  </si>
  <si>
    <t>REISCH</t>
  </si>
  <si>
    <t>Alois</t>
  </si>
  <si>
    <t>RISBOURG</t>
  </si>
  <si>
    <t>Quentin</t>
  </si>
  <si>
    <t>RICHY</t>
  </si>
  <si>
    <t>Akim</t>
  </si>
  <si>
    <t>SALAMBIEN</t>
  </si>
  <si>
    <t>Gérard</t>
  </si>
  <si>
    <t>en cours</t>
  </si>
  <si>
    <t xml:space="preserve">SANDERS </t>
  </si>
  <si>
    <t>Responsable Maintenance</t>
  </si>
  <si>
    <t>SEFFIH</t>
  </si>
  <si>
    <t>Yacine</t>
  </si>
  <si>
    <t>SERVIEN</t>
  </si>
  <si>
    <t>Pierre-Marie</t>
  </si>
  <si>
    <t>SEVEN</t>
  </si>
  <si>
    <t>Alexandre</t>
  </si>
  <si>
    <t>Ingénieur études PV</t>
  </si>
  <si>
    <t>SOHOUME</t>
  </si>
  <si>
    <t>Samuel</t>
  </si>
  <si>
    <t>TUOT</t>
  </si>
  <si>
    <t>Jules</t>
  </si>
  <si>
    <t>TURPIN</t>
  </si>
  <si>
    <t>Johan</t>
  </si>
  <si>
    <t>VENET</t>
  </si>
  <si>
    <t>Florent</t>
  </si>
  <si>
    <t>autorisation envoyée pour signature</t>
  </si>
  <si>
    <t>autorisation signée et classée</t>
  </si>
  <si>
    <t>manque VM</t>
  </si>
  <si>
    <t>à planifier</t>
  </si>
  <si>
    <t xml:space="preserve"> </t>
  </si>
  <si>
    <t>DURAND</t>
  </si>
  <si>
    <t>Stéphane</t>
  </si>
  <si>
    <t>Marie</t>
  </si>
  <si>
    <t>DUCOUP</t>
  </si>
  <si>
    <t>Date de validité 
 (4 ans)</t>
  </si>
  <si>
    <t>uniquement SST</t>
  </si>
  <si>
    <t>arrêt LM</t>
  </si>
  <si>
    <t>arrivé le 4/05</t>
  </si>
  <si>
    <t>du 8 au 10/06</t>
  </si>
  <si>
    <t>CONTANT</t>
  </si>
  <si>
    <t>ANGEL</t>
  </si>
  <si>
    <t>Mihaïl</t>
  </si>
  <si>
    <t>Directeur Commercial</t>
  </si>
  <si>
    <t>Responsable commercial</t>
  </si>
  <si>
    <t>ANGEL Mihaïl</t>
  </si>
  <si>
    <t>MAJ , le 27/05/2026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</si>
</sst>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b/>
      <sz val="11"/>
      <color theme="4" tint="-0.499984740745262"/>
      <name val="Aptos Display"/>
      <family val="2"/>
      <scheme val="major"/>
    </font>
    <font>
      <sz val="11"/>
      <color theme="4" tint="-0.499984740745262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theme="8" tint="-0.499984740745262"/>
      <name val="Aptos Display"/>
      <family val="2"/>
      <scheme val="major"/>
    </font>
    <font>
      <i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color theme="4" tint="-0.499984740745262"/>
      <name val="Aptos Display"/>
      <family val="2"/>
      <scheme val="major"/>
    </font>
    <font>
      <i/>
      <sz val="8"/>
      <color theme="4" tint="-0.499984740745262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8"/>
      <color theme="4" tint="-0.499984740745262"/>
      <name val="Aptos Display"/>
      <family val="2"/>
      <scheme val="major"/>
    </font>
    <font>
      <sz val="9"/>
      <color theme="4" tint="-0.499984740745262"/>
      <name val="Aptos Display"/>
      <family val="2"/>
      <scheme val="major"/>
    </font>
    <font>
      <i/>
      <sz val="9"/>
      <color theme="4" tint="-0.499984740745262"/>
      <name val="Aptos Display"/>
      <family val="2"/>
      <scheme val="major"/>
    </font>
    <font>
      <sz val="11"/>
      <name val="Aptos Display"/>
      <family val="2"/>
      <scheme val="major"/>
    </font>
    <font>
      <i/>
      <sz val="11"/>
      <color rgb="FFFFC000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name val="Aptos Narrow"/>
      <family val="2"/>
      <scheme val="minor"/>
    </font>
    <font>
      <sz val="9"/>
      <name val="Aptos Display"/>
      <family val="2"/>
      <scheme val="major"/>
    </font>
    <font>
      <sz val="9"/>
      <color theme="1"/>
      <name val="Aptos Narrow"/>
      <family val="2"/>
      <scheme val="minor"/>
    </font>
    <font>
      <b/>
      <sz val="9"/>
      <color theme="4" tint="-0.499984740745262"/>
      <name val="Aptos Display"/>
      <family val="2"/>
      <scheme val="major"/>
    </font>
    <font>
      <b/>
      <sz val="9"/>
      <name val="Aptos Display"/>
      <family val="2"/>
      <scheme val="major"/>
    </font>
    <font>
      <sz val="11"/>
      <color rgb="FF0070C0"/>
      <name val="Aptos Narrow"/>
      <family val="2"/>
      <scheme val="minor"/>
    </font>
    <font>
      <b/>
      <sz val="11"/>
      <color rgb="FF0070C0"/>
      <name val="Aptos Display"/>
      <family val="2"/>
      <scheme val="major"/>
    </font>
    <font>
      <sz val="11"/>
      <color rgb="FF0070C0"/>
      <name val="Aptos Display"/>
      <family val="2"/>
      <scheme val="major"/>
    </font>
    <font>
      <sz val="11"/>
      <color rgb="FF00B050"/>
      <name val="Aptos Narrow"/>
      <family val="2"/>
      <scheme val="minor"/>
    </font>
    <font>
      <i/>
      <sz val="11"/>
      <color rgb="FF00B050"/>
      <name val="Aptos Display"/>
      <family val="2"/>
      <scheme val="major"/>
    </font>
    <font>
      <sz val="11"/>
      <color rgb="FF00B050"/>
      <name val="Aptos Display"/>
      <family val="2"/>
      <scheme val="major"/>
    </font>
    <font>
      <i/>
      <sz val="11"/>
      <color rgb="FF00B050"/>
      <name val="Aptos Narrow"/>
      <family val="2"/>
      <scheme val="minor"/>
    </font>
    <font>
      <sz val="10"/>
      <color theme="4" tint="-0.499984740745262"/>
      <name val="Aptos Display"/>
      <family val="2"/>
      <scheme val="major"/>
    </font>
    <font>
      <sz val="10"/>
      <name val="Aptos Display"/>
      <family val="2"/>
      <scheme val="major"/>
    </font>
    <font>
      <sz val="11"/>
      <color rgb="FFEE0000"/>
      <name val="Aptos Display"/>
      <family val="2"/>
      <scheme val="major"/>
    </font>
    <font>
      <i/>
      <sz val="9"/>
      <name val="Aptos Display"/>
      <family val="2"/>
      <scheme val="major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5705"/>
        <bgColor indexed="64"/>
      </patternFill>
    </fill>
    <fill>
      <patternFill patternType="solid">
        <fgColor rgb="FFFF33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1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/>
    </xf>
    <xf numFmtId="14" fontId="4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/>
    </xf>
    <xf numFmtId="14" fontId="2" fillId="0" borderId="7" xfId="1" applyNumberFormat="1" applyFont="1" applyFill="1" applyBorder="1" applyAlignment="1">
      <alignment horizontal="center"/>
    </xf>
    <xf numFmtId="14" fontId="2" fillId="0" borderId="8" xfId="1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/>
    </xf>
    <xf numFmtId="0" fontId="1" fillId="0" borderId="14" xfId="0" applyFont="1" applyBorder="1" applyAlignment="1">
      <alignment horizontal="left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14" fontId="2" fillId="0" borderId="2" xfId="1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14" fontId="2" fillId="0" borderId="22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1" fillId="4" borderId="2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1" fillId="4" borderId="27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left"/>
    </xf>
    <xf numFmtId="14" fontId="2" fillId="0" borderId="15" xfId="1" applyNumberFormat="1" applyFont="1" applyFill="1" applyBorder="1" applyAlignment="1">
      <alignment horizontal="center"/>
    </xf>
    <xf numFmtId="14" fontId="2" fillId="0" borderId="14" xfId="1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14" fontId="2" fillId="0" borderId="28" xfId="0" applyNumberFormat="1" applyFont="1" applyBorder="1" applyAlignment="1">
      <alignment horizontal="center" vertical="center" wrapText="1"/>
    </xf>
    <xf numFmtId="14" fontId="2" fillId="0" borderId="28" xfId="1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26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4" fontId="2" fillId="0" borderId="25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7" borderId="0" xfId="0" applyFont="1" applyFill="1" applyAlignment="1">
      <alignment horizontal="left"/>
    </xf>
    <xf numFmtId="0" fontId="0" fillId="7" borderId="0" xfId="0" applyFill="1"/>
    <xf numFmtId="0" fontId="1" fillId="3" borderId="0" xfId="0" applyFont="1" applyFill="1" applyAlignment="1">
      <alignment horizontal="left"/>
    </xf>
    <xf numFmtId="0" fontId="0" fillId="3" borderId="0" xfId="0" applyFill="1"/>
    <xf numFmtId="0" fontId="9" fillId="5" borderId="0" xfId="0" applyFont="1" applyFill="1"/>
    <xf numFmtId="14" fontId="2" fillId="0" borderId="26" xfId="1" applyNumberFormat="1" applyFont="1" applyFill="1" applyBorder="1" applyAlignment="1">
      <alignment horizontal="center"/>
    </xf>
    <xf numFmtId="0" fontId="0" fillId="8" borderId="0" xfId="0" applyFill="1"/>
    <xf numFmtId="0" fontId="9" fillId="8" borderId="0" xfId="0" applyFont="1" applyFill="1"/>
    <xf numFmtId="14" fontId="2" fillId="0" borderId="0" xfId="0" applyNumberFormat="1" applyFont="1" applyAlignment="1">
      <alignment horizontal="center"/>
    </xf>
    <xf numFmtId="14" fontId="2" fillId="10" borderId="22" xfId="1" applyNumberFormat="1" applyFont="1" applyFill="1" applyBorder="1" applyAlignment="1">
      <alignment horizontal="center"/>
    </xf>
    <xf numFmtId="14" fontId="2" fillId="0" borderId="3" xfId="1" applyNumberFormat="1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4" fontId="11" fillId="0" borderId="22" xfId="1" applyNumberFormat="1" applyFont="1" applyFill="1" applyBorder="1" applyAlignment="1">
      <alignment horizontal="center"/>
    </xf>
    <xf numFmtId="14" fontId="13" fillId="0" borderId="7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14" fontId="14" fillId="0" borderId="3" xfId="1" applyNumberFormat="1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13" fillId="0" borderId="22" xfId="1" applyNumberFormat="1" applyFont="1" applyFill="1" applyBorder="1" applyAlignment="1">
      <alignment horizontal="center"/>
    </xf>
    <xf numFmtId="0" fontId="13" fillId="0" borderId="26" xfId="0" applyFont="1" applyBorder="1" applyAlignment="1">
      <alignment horizontal="left"/>
    </xf>
    <xf numFmtId="14" fontId="13" fillId="0" borderId="7" xfId="1" applyNumberFormat="1" applyFont="1" applyFill="1" applyBorder="1" applyAlignment="1">
      <alignment horizontal="center"/>
    </xf>
    <xf numFmtId="0" fontId="13" fillId="0" borderId="1" xfId="1" applyFont="1" applyFill="1" applyBorder="1" applyAlignment="1">
      <alignment horizontal="center"/>
    </xf>
    <xf numFmtId="14" fontId="13" fillId="0" borderId="1" xfId="1" applyNumberFormat="1" applyFont="1" applyFill="1" applyBorder="1" applyAlignment="1">
      <alignment horizontal="center"/>
    </xf>
    <xf numFmtId="0" fontId="0" fillId="0" borderId="1" xfId="0" applyBorder="1"/>
    <xf numFmtId="14" fontId="4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/>
    </xf>
    <xf numFmtId="0" fontId="16" fillId="0" borderId="0" xfId="0" applyFont="1"/>
    <xf numFmtId="0" fontId="13" fillId="0" borderId="7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13" fillId="0" borderId="14" xfId="1" applyNumberFormat="1" applyFont="1" applyFill="1" applyBorder="1" applyAlignment="1">
      <alignment horizontal="center"/>
    </xf>
    <xf numFmtId="0" fontId="15" fillId="0" borderId="14" xfId="0" applyFont="1" applyBorder="1" applyAlignment="1">
      <alignment horizontal="left"/>
    </xf>
    <xf numFmtId="14" fontId="15" fillId="0" borderId="1" xfId="1" applyNumberFormat="1" applyFont="1" applyFill="1" applyBorder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 wrapText="1"/>
    </xf>
    <xf numFmtId="14" fontId="17" fillId="0" borderId="22" xfId="1" applyNumberFormat="1" applyFont="1" applyFill="1" applyBorder="1" applyAlignment="1">
      <alignment horizontal="center"/>
    </xf>
    <xf numFmtId="14" fontId="13" fillId="0" borderId="7" xfId="0" applyNumberFormat="1" applyFont="1" applyBorder="1" applyAlignment="1">
      <alignment horizontal="center" vertical="center" wrapText="1"/>
    </xf>
    <xf numFmtId="14" fontId="13" fillId="0" borderId="3" xfId="0" applyNumberFormat="1" applyFont="1" applyBorder="1" applyAlignment="1">
      <alignment horizontal="center" vertical="center" wrapText="1"/>
    </xf>
    <xf numFmtId="14" fontId="13" fillId="0" borderId="15" xfId="1" applyNumberFormat="1" applyFont="1" applyFill="1" applyBorder="1" applyAlignment="1">
      <alignment horizontal="center"/>
    </xf>
    <xf numFmtId="0" fontId="15" fillId="0" borderId="14" xfId="0" applyFont="1" applyBorder="1" applyAlignment="1">
      <alignment horizontal="left" vertical="center" wrapText="1"/>
    </xf>
    <xf numFmtId="14" fontId="15" fillId="0" borderId="2" xfId="0" applyNumberFormat="1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14" fontId="11" fillId="0" borderId="1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33" xfId="1" applyNumberFormat="1" applyFont="1" applyFill="1" applyBorder="1" applyAlignment="1">
      <alignment horizontal="center"/>
    </xf>
    <xf numFmtId="14" fontId="10" fillId="0" borderId="7" xfId="0" applyNumberFormat="1" applyFont="1" applyBorder="1" applyAlignment="1">
      <alignment horizontal="center" wrapText="1"/>
    </xf>
    <xf numFmtId="0" fontId="18" fillId="0" borderId="0" xfId="0" applyFont="1"/>
    <xf numFmtId="0" fontId="19" fillId="0" borderId="2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/>
    </xf>
    <xf numFmtId="0" fontId="19" fillId="0" borderId="22" xfId="0" applyFont="1" applyBorder="1" applyAlignment="1">
      <alignment horizontal="left"/>
    </xf>
    <xf numFmtId="0" fontId="20" fillId="0" borderId="22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/>
    </xf>
    <xf numFmtId="14" fontId="23" fillId="0" borderId="22" xfId="1" applyNumberFormat="1" applyFont="1" applyFill="1" applyBorder="1" applyAlignment="1">
      <alignment horizontal="center"/>
    </xf>
    <xf numFmtId="14" fontId="23" fillId="10" borderId="22" xfId="1" applyNumberFormat="1" applyFont="1" applyFill="1" applyBorder="1" applyAlignment="1">
      <alignment horizontal="center"/>
    </xf>
    <xf numFmtId="0" fontId="21" fillId="10" borderId="0" xfId="0" applyFont="1" applyFill="1"/>
    <xf numFmtId="14" fontId="23" fillId="10" borderId="1" xfId="0" applyNumberFormat="1" applyFont="1" applyFill="1" applyBorder="1" applyAlignment="1">
      <alignment horizontal="center"/>
    </xf>
    <xf numFmtId="14" fontId="23" fillId="10" borderId="3" xfId="0" applyNumberFormat="1" applyFont="1" applyFill="1" applyBorder="1" applyAlignment="1">
      <alignment horizontal="center"/>
    </xf>
    <xf numFmtId="0" fontId="23" fillId="10" borderId="1" xfId="0" applyFont="1" applyFill="1" applyBorder="1" applyAlignment="1">
      <alignment horizontal="center"/>
    </xf>
    <xf numFmtId="14" fontId="23" fillId="10" borderId="7" xfId="0" applyNumberFormat="1" applyFont="1" applyFill="1" applyBorder="1" applyAlignment="1">
      <alignment horizontal="center"/>
    </xf>
    <xf numFmtId="14" fontId="23" fillId="10" borderId="14" xfId="1" applyNumberFormat="1" applyFont="1" applyFill="1" applyBorder="1" applyAlignment="1">
      <alignment horizontal="center"/>
    </xf>
    <xf numFmtId="0" fontId="23" fillId="10" borderId="3" xfId="0" applyFont="1" applyFill="1" applyBorder="1" applyAlignment="1">
      <alignment horizontal="center"/>
    </xf>
    <xf numFmtId="0" fontId="23" fillId="10" borderId="7" xfId="0" applyFont="1" applyFill="1" applyBorder="1" applyAlignment="1">
      <alignment horizontal="center"/>
    </xf>
    <xf numFmtId="14" fontId="22" fillId="10" borderId="1" xfId="1" applyNumberFormat="1" applyFont="1" applyFill="1" applyBorder="1" applyAlignment="1">
      <alignment horizontal="center"/>
    </xf>
    <xf numFmtId="14" fontId="23" fillId="10" borderId="26" xfId="0" applyNumberFormat="1" applyFont="1" applyFill="1" applyBorder="1" applyAlignment="1">
      <alignment horizontal="center"/>
    </xf>
    <xf numFmtId="14" fontId="23" fillId="10" borderId="25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 wrapText="1"/>
    </xf>
    <xf numFmtId="0" fontId="15" fillId="10" borderId="14" xfId="0" applyFont="1" applyFill="1" applyBorder="1" applyAlignment="1">
      <alignment horizontal="left"/>
    </xf>
    <xf numFmtId="0" fontId="20" fillId="10" borderId="22" xfId="0" applyFont="1" applyFill="1" applyBorder="1" applyAlignment="1">
      <alignment horizontal="left"/>
    </xf>
    <xf numFmtId="14" fontId="15" fillId="10" borderId="2" xfId="0" applyNumberFormat="1" applyFont="1" applyFill="1" applyBorder="1" applyAlignment="1">
      <alignment horizontal="left"/>
    </xf>
    <xf numFmtId="0" fontId="13" fillId="10" borderId="26" xfId="0" applyFont="1" applyFill="1" applyBorder="1" applyAlignment="1">
      <alignment horizontal="left"/>
    </xf>
    <xf numFmtId="0" fontId="13" fillId="10" borderId="7" xfId="0" applyFont="1" applyFill="1" applyBorder="1" applyAlignment="1">
      <alignment horizontal="left"/>
    </xf>
    <xf numFmtId="14" fontId="13" fillId="10" borderId="1" xfId="1" applyNumberFormat="1" applyFont="1" applyFill="1" applyBorder="1" applyAlignment="1">
      <alignment horizontal="center"/>
    </xf>
    <xf numFmtId="14" fontId="13" fillId="10" borderId="3" xfId="1" applyNumberFormat="1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14" fontId="13" fillId="10" borderId="1" xfId="0" applyNumberFormat="1" applyFont="1" applyFill="1" applyBorder="1" applyAlignment="1">
      <alignment horizontal="center"/>
    </xf>
    <xf numFmtId="14" fontId="13" fillId="10" borderId="22" xfId="1" applyNumberFormat="1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13" fillId="10" borderId="7" xfId="0" applyFont="1" applyFill="1" applyBorder="1" applyAlignment="1">
      <alignment horizontal="center"/>
    </xf>
    <xf numFmtId="14" fontId="13" fillId="10" borderId="14" xfId="1" applyNumberFormat="1" applyFont="1" applyFill="1" applyBorder="1" applyAlignment="1">
      <alignment horizontal="center"/>
    </xf>
    <xf numFmtId="14" fontId="13" fillId="10" borderId="7" xfId="0" applyNumberFormat="1" applyFont="1" applyFill="1" applyBorder="1" applyAlignment="1">
      <alignment horizontal="center"/>
    </xf>
    <xf numFmtId="0" fontId="16" fillId="10" borderId="0" xfId="0" applyFont="1" applyFill="1"/>
    <xf numFmtId="0" fontId="24" fillId="0" borderId="0" xfId="0" applyFont="1"/>
    <xf numFmtId="14" fontId="26" fillId="0" borderId="22" xfId="1" applyNumberFormat="1" applyFont="1" applyFill="1" applyBorder="1" applyAlignment="1">
      <alignment horizontal="center"/>
    </xf>
    <xf numFmtId="14" fontId="25" fillId="0" borderId="22" xfId="1" applyNumberFormat="1" applyFont="1" applyFill="1" applyBorder="1" applyAlignment="1">
      <alignment horizontal="center"/>
    </xf>
    <xf numFmtId="14" fontId="26" fillId="0" borderId="3" xfId="1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14" fontId="25" fillId="0" borderId="7" xfId="0" applyNumberFormat="1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14" fontId="26" fillId="0" borderId="15" xfId="1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4" fontId="25" fillId="0" borderId="3" xfId="0" applyNumberFormat="1" applyFont="1" applyBorder="1" applyAlignment="1">
      <alignment horizontal="center" vertical="center" wrapText="1"/>
    </xf>
    <xf numFmtId="14" fontId="25" fillId="0" borderId="14" xfId="1" applyNumberFormat="1" applyFont="1" applyFill="1" applyBorder="1" applyAlignment="1">
      <alignment horizontal="center"/>
    </xf>
    <xf numFmtId="14" fontId="25" fillId="0" borderId="7" xfId="0" applyNumberFormat="1" applyFont="1" applyBorder="1" applyAlignment="1">
      <alignment horizontal="center" vertical="center" wrapText="1"/>
    </xf>
    <xf numFmtId="14" fontId="26" fillId="0" borderId="7" xfId="0" applyNumberFormat="1" applyFont="1" applyBorder="1" applyAlignment="1">
      <alignment horizontal="center" vertical="center" wrapText="1"/>
    </xf>
    <xf numFmtId="14" fontId="26" fillId="0" borderId="3" xfId="0" applyNumberFormat="1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4" fontId="25" fillId="10" borderId="22" xfId="1" applyNumberFormat="1" applyFont="1" applyFill="1" applyBorder="1" applyAlignment="1">
      <alignment horizontal="center"/>
    </xf>
    <xf numFmtId="14" fontId="25" fillId="10" borderId="3" xfId="0" applyNumberFormat="1" applyFont="1" applyFill="1" applyBorder="1" applyAlignment="1">
      <alignment horizontal="center"/>
    </xf>
    <xf numFmtId="14" fontId="25" fillId="10" borderId="14" xfId="1" applyNumberFormat="1" applyFont="1" applyFill="1" applyBorder="1" applyAlignment="1">
      <alignment horizontal="center"/>
    </xf>
    <xf numFmtId="0" fontId="25" fillId="10" borderId="7" xfId="0" applyFont="1" applyFill="1" applyBorder="1" applyAlignment="1">
      <alignment horizontal="center"/>
    </xf>
    <xf numFmtId="0" fontId="25" fillId="10" borderId="3" xfId="0" applyFont="1" applyFill="1" applyBorder="1" applyAlignment="1">
      <alignment horizontal="center"/>
    </xf>
    <xf numFmtId="0" fontId="25" fillId="10" borderId="1" xfId="0" applyFont="1" applyFill="1" applyBorder="1" applyAlignment="1">
      <alignment horizontal="center"/>
    </xf>
    <xf numFmtId="0" fontId="27" fillId="10" borderId="0" xfId="0" applyFont="1" applyFill="1"/>
    <xf numFmtId="14" fontId="25" fillId="0" borderId="15" xfId="1" applyNumberFormat="1" applyFont="1" applyFill="1" applyBorder="1" applyAlignment="1">
      <alignment horizontal="center"/>
    </xf>
    <xf numFmtId="0" fontId="27" fillId="0" borderId="0" xfId="0" applyFont="1"/>
    <xf numFmtId="14" fontId="25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25" fillId="0" borderId="7" xfId="0" applyFont="1" applyBorder="1" applyAlignment="1">
      <alignment horizontal="center"/>
    </xf>
    <xf numFmtId="0" fontId="13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14" fontId="2" fillId="0" borderId="8" xfId="0" applyNumberFormat="1" applyFont="1" applyBorder="1" applyAlignment="1">
      <alignment horizontal="center" vertical="center" wrapText="1"/>
    </xf>
    <xf numFmtId="14" fontId="13" fillId="10" borderId="8" xfId="0" applyNumberFormat="1" applyFont="1" applyFill="1" applyBorder="1" applyAlignment="1">
      <alignment horizontal="center"/>
    </xf>
    <xf numFmtId="14" fontId="13" fillId="0" borderId="3" xfId="0" applyNumberFormat="1" applyFont="1" applyBorder="1" applyAlignment="1">
      <alignment horizontal="center"/>
    </xf>
    <xf numFmtId="0" fontId="15" fillId="0" borderId="7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14" fontId="13" fillId="0" borderId="28" xfId="1" applyNumberFormat="1" applyFont="1" applyFill="1" applyBorder="1" applyAlignment="1">
      <alignment horizontal="center"/>
    </xf>
    <xf numFmtId="14" fontId="29" fillId="0" borderId="22" xfId="1" applyNumberFormat="1" applyFont="1" applyFill="1" applyBorder="1" applyAlignment="1">
      <alignment horizontal="center"/>
    </xf>
    <xf numFmtId="14" fontId="28" fillId="0" borderId="2" xfId="1" applyNumberFormat="1" applyFont="1" applyFill="1" applyBorder="1" applyAlignment="1">
      <alignment horizontal="center"/>
    </xf>
    <xf numFmtId="14" fontId="2" fillId="0" borderId="23" xfId="0" applyNumberFormat="1" applyFont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/>
    </xf>
    <xf numFmtId="14" fontId="2" fillId="0" borderId="28" xfId="0" applyNumberFormat="1" applyFont="1" applyBorder="1" applyAlignment="1">
      <alignment horizontal="center"/>
    </xf>
    <xf numFmtId="14" fontId="23" fillId="0" borderId="33" xfId="1" applyNumberFormat="1" applyFont="1" applyFill="1" applyBorder="1" applyAlignment="1">
      <alignment horizontal="center"/>
    </xf>
    <xf numFmtId="14" fontId="2" fillId="1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0" borderId="0" xfId="0" applyFill="1"/>
    <xf numFmtId="0" fontId="1" fillId="10" borderId="0" xfId="0" applyFont="1" applyFill="1" applyAlignment="1">
      <alignment horizontal="center" vertical="center" wrapText="1"/>
    </xf>
    <xf numFmtId="14" fontId="2" fillId="10" borderId="0" xfId="1" applyNumberFormat="1" applyFont="1" applyFill="1" applyBorder="1" applyAlignment="1">
      <alignment horizontal="center"/>
    </xf>
    <xf numFmtId="14" fontId="13" fillId="10" borderId="0" xfId="1" applyNumberFormat="1" applyFont="1" applyFill="1" applyBorder="1" applyAlignment="1">
      <alignment horizontal="center"/>
    </xf>
    <xf numFmtId="14" fontId="25" fillId="10" borderId="0" xfId="1" applyNumberFormat="1" applyFont="1" applyFill="1" applyBorder="1" applyAlignment="1">
      <alignment horizontal="center"/>
    </xf>
    <xf numFmtId="14" fontId="26" fillId="10" borderId="0" xfId="1" applyNumberFormat="1" applyFont="1" applyFill="1" applyBorder="1" applyAlignment="1">
      <alignment horizontal="center"/>
    </xf>
    <xf numFmtId="14" fontId="2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14" fontId="23" fillId="10" borderId="0" xfId="1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25" fillId="10" borderId="8" xfId="0" applyFont="1" applyFill="1" applyBorder="1" applyAlignment="1">
      <alignment horizontal="center"/>
    </xf>
    <xf numFmtId="0" fontId="23" fillId="10" borderId="8" xfId="0" applyFont="1" applyFill="1" applyBorder="1" applyAlignment="1">
      <alignment horizontal="center"/>
    </xf>
    <xf numFmtId="14" fontId="2" fillId="0" borderId="0" xfId="1" applyNumberFormat="1" applyFont="1" applyFill="1" applyBorder="1" applyAlignment="1">
      <alignment horizontal="center"/>
    </xf>
    <xf numFmtId="14" fontId="2" fillId="0" borderId="22" xfId="0" applyNumberFormat="1" applyFont="1" applyBorder="1" applyAlignment="1">
      <alignment horizontal="center"/>
    </xf>
    <xf numFmtId="0" fontId="1" fillId="10" borderId="24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14" fontId="25" fillId="0" borderId="1" xfId="1" applyNumberFormat="1" applyFont="1" applyFill="1" applyBorder="1" applyAlignment="1">
      <alignment horizontal="center"/>
    </xf>
    <xf numFmtId="14" fontId="26" fillId="0" borderId="1" xfId="1" applyNumberFormat="1" applyFont="1" applyFill="1" applyBorder="1" applyAlignment="1">
      <alignment horizontal="center"/>
    </xf>
    <xf numFmtId="14" fontId="25" fillId="10" borderId="1" xfId="1" applyNumberFormat="1" applyFont="1" applyFill="1" applyBorder="1" applyAlignment="1">
      <alignment horizontal="center"/>
    </xf>
    <xf numFmtId="14" fontId="23" fillId="10" borderId="1" xfId="1" applyNumberFormat="1" applyFont="1" applyFill="1" applyBorder="1" applyAlignment="1">
      <alignment horizontal="center"/>
    </xf>
    <xf numFmtId="14" fontId="2" fillId="10" borderId="14" xfId="1" applyNumberFormat="1" applyFont="1" applyFill="1" applyBorder="1" applyAlignment="1">
      <alignment horizontal="center"/>
    </xf>
    <xf numFmtId="14" fontId="13" fillId="0" borderId="0" xfId="1" applyNumberFormat="1" applyFont="1" applyFill="1" applyBorder="1" applyAlignment="1">
      <alignment horizontal="center"/>
    </xf>
    <xf numFmtId="0" fontId="32" fillId="0" borderId="0" xfId="0" applyFont="1" applyAlignment="1">
      <alignment horizontal="left" wrapText="1"/>
    </xf>
    <xf numFmtId="14" fontId="11" fillId="10" borderId="1" xfId="1" applyNumberFormat="1" applyFont="1" applyFill="1" applyBorder="1" applyAlignment="1">
      <alignment horizontal="center"/>
    </xf>
    <xf numFmtId="14" fontId="2" fillId="11" borderId="1" xfId="0" applyNumberFormat="1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left"/>
    </xf>
    <xf numFmtId="0" fontId="1" fillId="4" borderId="0" xfId="0" applyFont="1" applyFill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14" fontId="2" fillId="10" borderId="7" xfId="0" applyNumberFormat="1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14" fontId="2" fillId="10" borderId="1" xfId="1" applyNumberFormat="1" applyFont="1" applyFill="1" applyBorder="1" applyAlignment="1">
      <alignment horizontal="center"/>
    </xf>
    <xf numFmtId="14" fontId="2" fillId="10" borderId="3" xfId="0" applyNumberFormat="1" applyFont="1" applyFill="1" applyBorder="1" applyAlignment="1">
      <alignment horizontal="center"/>
    </xf>
    <xf numFmtId="14" fontId="30" fillId="10" borderId="1" xfId="0" applyNumberFormat="1" applyFont="1" applyFill="1" applyBorder="1" applyAlignment="1">
      <alignment horizontal="center"/>
    </xf>
    <xf numFmtId="14" fontId="2" fillId="10" borderId="1" xfId="0" applyNumberFormat="1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14" fontId="2" fillId="10" borderId="7" xfId="0" applyNumberFormat="1" applyFont="1" applyFill="1" applyBorder="1" applyAlignment="1">
      <alignment horizontal="center"/>
    </xf>
    <xf numFmtId="14" fontId="2" fillId="10" borderId="15" xfId="1" applyNumberFormat="1" applyFont="1" applyFill="1" applyBorder="1" applyAlignment="1">
      <alignment horizontal="center"/>
    </xf>
    <xf numFmtId="14" fontId="31" fillId="0" borderId="7" xfId="0" applyNumberFormat="1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14" fontId="12" fillId="9" borderId="1" xfId="1" applyNumberFormat="1" applyFont="1" applyFill="1" applyBorder="1" applyAlignment="1">
      <alignment horizontal="center"/>
    </xf>
    <xf numFmtId="14" fontId="13" fillId="10" borderId="7" xfId="0" applyNumberFormat="1" applyFont="1" applyFill="1" applyBorder="1" applyAlignment="1">
      <alignment horizontal="center" vertical="center" wrapText="1"/>
    </xf>
    <xf numFmtId="14" fontId="13" fillId="10" borderId="3" xfId="0" applyNumberFormat="1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14" fontId="13" fillId="10" borderId="15" xfId="1" applyNumberFormat="1" applyFont="1" applyFill="1" applyBorder="1" applyAlignment="1">
      <alignment horizontal="center"/>
    </xf>
    <xf numFmtId="14" fontId="13" fillId="10" borderId="8" xfId="0" applyNumberFormat="1" applyFont="1" applyFill="1" applyBorder="1" applyAlignment="1">
      <alignment horizontal="center" vertical="center" wrapText="1"/>
    </xf>
    <xf numFmtId="14" fontId="2" fillId="10" borderId="7" xfId="1" applyNumberFormat="1" applyFont="1" applyFill="1" applyBorder="1" applyAlignment="1">
      <alignment horizontal="center"/>
    </xf>
    <xf numFmtId="14" fontId="2" fillId="10" borderId="23" xfId="0" applyNumberFormat="1" applyFont="1" applyFill="1" applyBorder="1" applyAlignment="1">
      <alignment horizontal="center" vertical="center" wrapText="1"/>
    </xf>
    <xf numFmtId="14" fontId="2" fillId="10" borderId="25" xfId="1" applyNumberFormat="1" applyFont="1" applyFill="1" applyBorder="1" applyAlignment="1">
      <alignment horizontal="center"/>
    </xf>
    <xf numFmtId="14" fontId="2" fillId="10" borderId="22" xfId="0" applyNumberFormat="1" applyFont="1" applyFill="1" applyBorder="1" applyAlignment="1">
      <alignment horizontal="center"/>
    </xf>
    <xf numFmtId="14" fontId="26" fillId="10" borderId="3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22" xfId="0" applyFill="1" applyBorder="1"/>
    <xf numFmtId="14" fontId="11" fillId="10" borderId="22" xfId="1" applyNumberFormat="1" applyFont="1" applyFill="1" applyBorder="1" applyAlignment="1">
      <alignment horizontal="center"/>
    </xf>
    <xf numFmtId="14" fontId="2" fillId="10" borderId="8" xfId="0" applyNumberFormat="1" applyFont="1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left"/>
    </xf>
    <xf numFmtId="14" fontId="13" fillId="5" borderId="22" xfId="1" applyNumberFormat="1" applyFont="1" applyFill="1" applyBorder="1" applyAlignment="1">
      <alignment horizontal="center"/>
    </xf>
    <xf numFmtId="14" fontId="13" fillId="5" borderId="1" xfId="0" applyNumberFormat="1" applyFont="1" applyFill="1" applyBorder="1" applyAlignment="1">
      <alignment horizontal="center"/>
    </xf>
    <xf numFmtId="14" fontId="2" fillId="9" borderId="22" xfId="1" applyNumberFormat="1" applyFont="1" applyFill="1" applyBorder="1" applyAlignment="1">
      <alignment horizontal="center"/>
    </xf>
    <xf numFmtId="14" fontId="31" fillId="9" borderId="7" xfId="0" applyNumberFormat="1" applyFont="1" applyFill="1" applyBorder="1" applyAlignment="1">
      <alignment horizontal="center"/>
    </xf>
    <xf numFmtId="14" fontId="13" fillId="0" borderId="3" xfId="1" applyNumberFormat="1" applyFont="1" applyFill="1" applyBorder="1" applyAlignment="1">
      <alignment horizontal="center"/>
    </xf>
    <xf numFmtId="14" fontId="17" fillId="0" borderId="8" xfId="1" applyNumberFormat="1" applyFont="1" applyFill="1" applyBorder="1" applyAlignment="1">
      <alignment horizontal="center"/>
    </xf>
    <xf numFmtId="14" fontId="17" fillId="0" borderId="15" xfId="1" applyNumberFormat="1" applyFont="1" applyFill="1" applyBorder="1" applyAlignment="1">
      <alignment horizontal="center"/>
    </xf>
    <xf numFmtId="14" fontId="11" fillId="0" borderId="15" xfId="1" applyNumberFormat="1" applyFont="1" applyFill="1" applyBorder="1" applyAlignment="1">
      <alignment horizontal="center"/>
    </xf>
    <xf numFmtId="14" fontId="11" fillId="0" borderId="8" xfId="1" applyNumberFormat="1" applyFont="1" applyFill="1" applyBorder="1" applyAlignment="1">
      <alignment horizontal="center"/>
    </xf>
    <xf numFmtId="14" fontId="4" fillId="0" borderId="7" xfId="0" applyNumberFormat="1" applyFont="1" applyBorder="1" applyAlignment="1">
      <alignment horizontal="center" vertical="center" wrapText="1"/>
    </xf>
    <xf numFmtId="14" fontId="2" fillId="0" borderId="40" xfId="0" applyNumberFormat="1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14" fontId="2" fillId="10" borderId="26" xfId="0" applyNumberFormat="1" applyFont="1" applyFill="1" applyBorder="1" applyAlignment="1">
      <alignment horizontal="center" vertical="center" wrapText="1"/>
    </xf>
    <xf numFmtId="14" fontId="13" fillId="0" borderId="8" xfId="1" applyNumberFormat="1" applyFont="1" applyFill="1" applyBorder="1" applyAlignment="1">
      <alignment horizontal="center"/>
    </xf>
    <xf numFmtId="14" fontId="2" fillId="0" borderId="15" xfId="1" applyNumberFormat="1" applyFont="1" applyFill="1" applyBorder="1" applyAlignment="1">
      <alignment horizontal="center" vertical="center"/>
    </xf>
    <xf numFmtId="14" fontId="25" fillId="0" borderId="3" xfId="1" applyNumberFormat="1" applyFont="1" applyFill="1" applyBorder="1" applyAlignment="1">
      <alignment horizontal="center"/>
    </xf>
    <xf numFmtId="14" fontId="2" fillId="10" borderId="3" xfId="1" applyNumberFormat="1" applyFont="1" applyFill="1" applyBorder="1" applyAlignment="1">
      <alignment horizontal="center"/>
    </xf>
    <xf numFmtId="14" fontId="25" fillId="10" borderId="3" xfId="1" applyNumberFormat="1" applyFont="1" applyFill="1" applyBorder="1" applyAlignment="1">
      <alignment horizontal="center"/>
    </xf>
    <xf numFmtId="14" fontId="23" fillId="10" borderId="3" xfId="1" applyNumberFormat="1" applyFont="1" applyFill="1" applyBorder="1" applyAlignment="1">
      <alignment horizontal="center"/>
    </xf>
    <xf numFmtId="14" fontId="2" fillId="10" borderId="8" xfId="1" applyNumberFormat="1" applyFont="1" applyFill="1" applyBorder="1" applyAlignment="1">
      <alignment horizontal="center"/>
    </xf>
    <xf numFmtId="14" fontId="25" fillId="10" borderId="15" xfId="1" applyNumberFormat="1" applyFont="1" applyFill="1" applyBorder="1" applyAlignment="1">
      <alignment horizontal="center"/>
    </xf>
    <xf numFmtId="14" fontId="23" fillId="10" borderId="15" xfId="1" applyNumberFormat="1" applyFont="1" applyFill="1" applyBorder="1" applyAlignment="1">
      <alignment horizontal="center"/>
    </xf>
    <xf numFmtId="14" fontId="13" fillId="10" borderId="8" xfId="1" applyNumberFormat="1" applyFont="1" applyFill="1" applyBorder="1" applyAlignment="1">
      <alignment horizontal="center"/>
    </xf>
    <xf numFmtId="14" fontId="25" fillId="0" borderId="8" xfId="1" applyNumberFormat="1" applyFont="1" applyFill="1" applyBorder="1" applyAlignment="1">
      <alignment horizontal="center"/>
    </xf>
    <xf numFmtId="14" fontId="26" fillId="0" borderId="8" xfId="1" applyNumberFormat="1" applyFont="1" applyFill="1" applyBorder="1" applyAlignment="1">
      <alignment horizontal="center"/>
    </xf>
    <xf numFmtId="14" fontId="2" fillId="0" borderId="41" xfId="1" applyNumberFormat="1" applyFont="1" applyFill="1" applyBorder="1" applyAlignment="1">
      <alignment horizontal="center"/>
    </xf>
    <xf numFmtId="14" fontId="2" fillId="0" borderId="24" xfId="0" applyNumberFormat="1" applyFont="1" applyBorder="1" applyAlignment="1">
      <alignment horizontal="center"/>
    </xf>
    <xf numFmtId="14" fontId="25" fillId="10" borderId="41" xfId="1" applyNumberFormat="1" applyFont="1" applyFill="1" applyBorder="1" applyAlignment="1">
      <alignment horizontal="center"/>
    </xf>
    <xf numFmtId="0" fontId="2" fillId="0" borderId="41" xfId="0" applyFont="1" applyBorder="1" applyAlignment="1">
      <alignment horizontal="center"/>
    </xf>
    <xf numFmtId="14" fontId="2" fillId="0" borderId="23" xfId="1" applyNumberFormat="1" applyFont="1" applyFill="1" applyBorder="1" applyAlignment="1">
      <alignment horizontal="center"/>
    </xf>
    <xf numFmtId="14" fontId="25" fillId="10" borderId="8" xfId="1" applyNumberFormat="1" applyFont="1" applyFill="1" applyBorder="1" applyAlignment="1">
      <alignment horizontal="center"/>
    </xf>
    <xf numFmtId="14" fontId="23" fillId="10" borderId="8" xfId="1" applyNumberFormat="1" applyFont="1" applyFill="1" applyBorder="1" applyAlignment="1">
      <alignment horizontal="center"/>
    </xf>
    <xf numFmtId="14" fontId="13" fillId="0" borderId="22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14" fontId="13" fillId="5" borderId="2" xfId="0" applyNumberFormat="1" applyFont="1" applyFill="1" applyBorder="1" applyAlignment="1">
      <alignment horizontal="center"/>
    </xf>
    <xf numFmtId="14" fontId="13" fillId="0" borderId="2" xfId="0" applyNumberFormat="1" applyFont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/>
    </xf>
    <xf numFmtId="14" fontId="2" fillId="12" borderId="2" xfId="0" applyNumberFormat="1" applyFont="1" applyFill="1" applyBorder="1" applyAlignment="1">
      <alignment horizontal="center"/>
    </xf>
    <xf numFmtId="14" fontId="13" fillId="10" borderId="2" xfId="0" applyNumberFormat="1" applyFont="1" applyFill="1" applyBorder="1" applyAlignment="1">
      <alignment horizontal="center"/>
    </xf>
    <xf numFmtId="14" fontId="2" fillId="10" borderId="2" xfId="0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14" fontId="7" fillId="0" borderId="2" xfId="1" applyNumberFormat="1" applyFont="1" applyFill="1" applyBorder="1" applyAlignment="1">
      <alignment horizontal="center"/>
    </xf>
    <xf numFmtId="14" fontId="2" fillId="10" borderId="2" xfId="1" applyNumberFormat="1" applyFont="1" applyFill="1" applyBorder="1" applyAlignment="1">
      <alignment horizontal="center"/>
    </xf>
    <xf numFmtId="14" fontId="7" fillId="0" borderId="1" xfId="1" applyNumberFormat="1" applyFont="1" applyFill="1" applyBorder="1" applyAlignment="1">
      <alignment horizontal="center"/>
    </xf>
    <xf numFmtId="14" fontId="13" fillId="0" borderId="2" xfId="1" applyNumberFormat="1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3300"/>
      <color rgb="FFFB5705"/>
      <color rgb="FFFFCC00"/>
      <color rgb="FFCC3300"/>
      <color rgb="FFFC57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C67C-A886-4219-B2E6-B6D700BAB2F8}">
  <dimension ref="A1:BH86"/>
  <sheetViews>
    <sheetView tabSelected="1" zoomScaleNormal="100" workbookViewId="0">
      <pane xSplit="3" ySplit="7" topLeftCell="D54" activePane="bottomRight" state="frozen"/>
      <selection pane="topRight" activeCell="D1" sqref="D1"/>
      <selection pane="bottomLeft" activeCell="A8" sqref="A8"/>
      <selection pane="bottomRight" activeCell="K8" sqref="K8:K76"/>
    </sheetView>
  </sheetViews>
  <sheetFormatPr baseColWidth="10" defaultColWidth="11.44140625" defaultRowHeight="14.4" x14ac:dyDescent="0.3"/>
  <cols>
    <col min="1" max="1" width="3.6640625" bestFit="1" customWidth="1"/>
    <col min="2" max="2" width="19.33203125" customWidth="1"/>
    <col min="3" max="3" width="15.33203125" customWidth="1"/>
    <col min="4" max="4" width="13.33203125" customWidth="1"/>
    <col min="5" max="5" width="19.88671875" style="108" customWidth="1"/>
    <col min="6" max="6" width="13.33203125" hidden="1" customWidth="1"/>
    <col min="7" max="7" width="25.109375" customWidth="1"/>
    <col min="8" max="8" width="18.6640625" customWidth="1"/>
    <col min="9" max="9" width="12.33203125" bestFit="1" customWidth="1"/>
    <col min="10" max="10" width="13.5546875" style="175" hidden="1" customWidth="1"/>
    <col min="11" max="11" width="19.33203125" customWidth="1"/>
    <col min="12" max="12" width="11.5546875" customWidth="1"/>
    <col min="13" max="13" width="13.44140625" bestFit="1" customWidth="1"/>
    <col min="14" max="14" width="15.33203125" bestFit="1" customWidth="1"/>
    <col min="15" max="20" width="11.5546875" customWidth="1"/>
    <col min="23" max="24" width="11.5546875" customWidth="1"/>
    <col min="27" max="27" width="13.6640625" bestFit="1" customWidth="1"/>
    <col min="29" max="29" width="11.5546875" customWidth="1"/>
    <col min="33" max="33" width="11.5546875" customWidth="1"/>
    <col min="43" max="43" width="20.6640625" hidden="1" customWidth="1"/>
    <col min="44" max="44" width="11.88671875" customWidth="1"/>
    <col min="45" max="45" width="11.44140625" customWidth="1"/>
    <col min="46" max="46" width="11" customWidth="1"/>
    <col min="47" max="47" width="11.33203125" bestFit="1" customWidth="1"/>
    <col min="59" max="59" width="5.77734375" style="196" customWidth="1"/>
    <col min="60" max="60" width="11.44140625" style="195" customWidth="1"/>
  </cols>
  <sheetData>
    <row r="1" spans="1:60" ht="18" x14ac:dyDescent="0.35">
      <c r="B1" s="29" t="s">
        <v>252</v>
      </c>
      <c r="D1" s="300" t="s">
        <v>0</v>
      </c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0"/>
    </row>
    <row r="4" spans="1:60" ht="15" customHeight="1" thickBot="1" x14ac:dyDescent="0.35"/>
    <row r="5" spans="1:60" ht="27.6" customHeight="1" thickBot="1" x14ac:dyDescent="0.35">
      <c r="K5" s="301" t="s">
        <v>1</v>
      </c>
      <c r="L5" s="302"/>
      <c r="M5" s="302"/>
      <c r="N5" s="302"/>
      <c r="O5" s="302"/>
      <c r="P5" s="303" t="s">
        <v>2</v>
      </c>
      <c r="Q5" s="304"/>
      <c r="R5" s="304"/>
      <c r="S5" s="305"/>
      <c r="T5" s="314" t="s">
        <v>3</v>
      </c>
      <c r="U5" s="315"/>
      <c r="V5" s="315"/>
      <c r="W5" s="315"/>
      <c r="X5" s="315"/>
      <c r="Y5" s="306" t="s">
        <v>4</v>
      </c>
      <c r="Z5" s="307"/>
      <c r="AA5" s="307"/>
      <c r="AB5" s="307"/>
      <c r="AC5" s="307"/>
      <c r="AD5" s="308" t="s">
        <v>5</v>
      </c>
      <c r="AE5" s="309"/>
      <c r="AF5" s="309"/>
      <c r="AG5" s="309"/>
      <c r="AH5" s="312" t="s">
        <v>6</v>
      </c>
      <c r="AI5" s="313"/>
      <c r="AJ5" s="313"/>
      <c r="AK5" s="313"/>
      <c r="AL5" s="308" t="s">
        <v>7</v>
      </c>
      <c r="AM5" s="309"/>
      <c r="AN5" s="309"/>
      <c r="AO5" s="309"/>
      <c r="AP5" s="63" t="s">
        <v>8</v>
      </c>
      <c r="AQ5" s="64" t="s">
        <v>9</v>
      </c>
      <c r="AR5" s="312" t="s">
        <v>10</v>
      </c>
      <c r="AS5" s="313"/>
      <c r="AT5" s="313"/>
      <c r="AU5" s="313"/>
      <c r="AV5" s="312" t="s">
        <v>11</v>
      </c>
      <c r="AW5" s="313"/>
      <c r="AX5" s="313"/>
      <c r="AY5" s="313"/>
      <c r="AZ5" s="316" t="s">
        <v>12</v>
      </c>
      <c r="BA5" s="317"/>
      <c r="BB5" s="318"/>
      <c r="BC5" s="306" t="s">
        <v>13</v>
      </c>
      <c r="BD5" s="307"/>
      <c r="BE5" s="307"/>
      <c r="BF5" s="319"/>
      <c r="BG5" s="213"/>
      <c r="BH5" s="297" t="s">
        <v>28</v>
      </c>
    </row>
    <row r="6" spans="1:60" ht="58.2" thickBot="1" x14ac:dyDescent="0.35">
      <c r="B6" s="22" t="s">
        <v>14</v>
      </c>
      <c r="C6" s="23" t="s">
        <v>15</v>
      </c>
      <c r="D6" s="23" t="s">
        <v>16</v>
      </c>
      <c r="E6" s="38" t="s">
        <v>17</v>
      </c>
      <c r="F6" s="38" t="s">
        <v>18</v>
      </c>
      <c r="G6" s="24" t="s">
        <v>19</v>
      </c>
      <c r="H6" s="22" t="s">
        <v>20</v>
      </c>
      <c r="I6" s="30" t="s">
        <v>21</v>
      </c>
      <c r="J6" s="24" t="s">
        <v>22</v>
      </c>
      <c r="K6" s="22" t="s">
        <v>23</v>
      </c>
      <c r="L6" s="23" t="s">
        <v>24</v>
      </c>
      <c r="M6" s="23" t="s">
        <v>25</v>
      </c>
      <c r="N6" s="38" t="s">
        <v>26</v>
      </c>
      <c r="O6" s="38" t="s">
        <v>27</v>
      </c>
      <c r="P6" s="22" t="s">
        <v>23</v>
      </c>
      <c r="Q6" s="23" t="s">
        <v>24</v>
      </c>
      <c r="R6" s="23" t="s">
        <v>29</v>
      </c>
      <c r="S6" s="38" t="s">
        <v>26</v>
      </c>
      <c r="T6" s="22" t="s">
        <v>30</v>
      </c>
      <c r="U6" s="23" t="s">
        <v>31</v>
      </c>
      <c r="V6" s="23" t="s">
        <v>24</v>
      </c>
      <c r="W6" s="23" t="s">
        <v>32</v>
      </c>
      <c r="X6" s="38" t="s">
        <v>26</v>
      </c>
      <c r="Y6" s="310" t="s">
        <v>23</v>
      </c>
      <c r="Z6" s="311"/>
      <c r="AA6" s="23" t="s">
        <v>24</v>
      </c>
      <c r="AB6" s="23" t="s">
        <v>33</v>
      </c>
      <c r="AC6" s="38" t="s">
        <v>26</v>
      </c>
      <c r="AD6" s="22" t="s">
        <v>23</v>
      </c>
      <c r="AE6" s="23" t="s">
        <v>24</v>
      </c>
      <c r="AF6" s="23" t="s">
        <v>34</v>
      </c>
      <c r="AG6" s="30" t="s">
        <v>26</v>
      </c>
      <c r="AH6" s="22" t="s">
        <v>23</v>
      </c>
      <c r="AI6" s="23" t="s">
        <v>24</v>
      </c>
      <c r="AJ6" s="23" t="s">
        <v>29</v>
      </c>
      <c r="AK6" s="38" t="s">
        <v>26</v>
      </c>
      <c r="AL6" s="22" t="s">
        <v>23</v>
      </c>
      <c r="AM6" s="23" t="s">
        <v>24</v>
      </c>
      <c r="AN6" s="23" t="s">
        <v>29</v>
      </c>
      <c r="AO6" s="38" t="s">
        <v>26</v>
      </c>
      <c r="AP6" s="22" t="s">
        <v>23</v>
      </c>
      <c r="AQ6" s="22" t="s">
        <v>23</v>
      </c>
      <c r="AR6" s="22" t="s">
        <v>23</v>
      </c>
      <c r="AS6" s="23" t="s">
        <v>24</v>
      </c>
      <c r="AT6" s="23" t="s">
        <v>35</v>
      </c>
      <c r="AU6" s="24" t="s">
        <v>26</v>
      </c>
      <c r="AV6" s="22" t="s">
        <v>23</v>
      </c>
      <c r="AW6" s="23" t="s">
        <v>24</v>
      </c>
      <c r="AX6" s="23" t="s">
        <v>36</v>
      </c>
      <c r="AY6" s="38" t="s">
        <v>26</v>
      </c>
      <c r="AZ6" s="22" t="s">
        <v>23</v>
      </c>
      <c r="BA6" s="23" t="s">
        <v>24</v>
      </c>
      <c r="BB6" s="23" t="s">
        <v>241</v>
      </c>
      <c r="BC6" s="310" t="s">
        <v>23</v>
      </c>
      <c r="BD6" s="311"/>
      <c r="BE6" s="23" t="s">
        <v>24</v>
      </c>
      <c r="BF6" s="23" t="s">
        <v>37</v>
      </c>
      <c r="BG6" s="213"/>
      <c r="BH6" s="298"/>
    </row>
    <row r="7" spans="1:60" x14ac:dyDescent="0.3">
      <c r="B7" s="185"/>
      <c r="C7" s="186"/>
      <c r="D7" s="186"/>
      <c r="E7" s="187"/>
      <c r="F7" s="187"/>
      <c r="G7" s="188"/>
      <c r="H7" s="185"/>
      <c r="I7" s="189"/>
      <c r="J7" s="188"/>
      <c r="K7" s="185"/>
      <c r="L7" s="186"/>
      <c r="M7" s="186"/>
      <c r="N7" s="187"/>
      <c r="O7" s="187"/>
      <c r="P7" s="185"/>
      <c r="Q7" s="186"/>
      <c r="R7" s="187"/>
      <c r="S7" s="187"/>
      <c r="T7" s="190"/>
      <c r="U7" s="186"/>
      <c r="V7" s="186"/>
      <c r="W7" s="186"/>
      <c r="X7" s="187"/>
      <c r="Y7" s="190" t="s">
        <v>38</v>
      </c>
      <c r="Z7" s="190" t="s">
        <v>39</v>
      </c>
      <c r="AA7" s="186"/>
      <c r="AB7" s="187"/>
      <c r="AC7" s="187"/>
      <c r="AD7" s="185"/>
      <c r="AE7" s="190"/>
      <c r="AF7" s="186"/>
      <c r="AG7" s="189"/>
      <c r="AH7" s="185"/>
      <c r="AI7" s="190"/>
      <c r="AJ7" s="186"/>
      <c r="AK7" s="187"/>
      <c r="AL7" s="185"/>
      <c r="AM7" s="190"/>
      <c r="AN7" s="186"/>
      <c r="AO7" s="187"/>
      <c r="AP7" s="185"/>
      <c r="AQ7" s="185"/>
      <c r="AR7" s="185"/>
      <c r="AS7" s="190"/>
      <c r="AT7" s="186"/>
      <c r="AU7" s="188"/>
      <c r="AV7" s="185"/>
      <c r="AW7" s="190"/>
      <c r="AX7" s="186"/>
      <c r="AY7" s="187"/>
      <c r="AZ7" s="214"/>
      <c r="BA7" s="215"/>
      <c r="BB7" s="226"/>
      <c r="BC7" s="227" t="s">
        <v>40</v>
      </c>
      <c r="BD7" s="227" t="s">
        <v>41</v>
      </c>
      <c r="BE7" s="227"/>
      <c r="BF7" s="227"/>
      <c r="BG7" s="197"/>
      <c r="BH7" s="299"/>
    </row>
    <row r="8" spans="1:60" s="81" customFormat="1" x14ac:dyDescent="0.3">
      <c r="A8">
        <v>1</v>
      </c>
      <c r="B8" s="18" t="s">
        <v>42</v>
      </c>
      <c r="C8" s="1" t="s">
        <v>43</v>
      </c>
      <c r="D8" s="20" t="s">
        <v>44</v>
      </c>
      <c r="E8" s="109" t="s">
        <v>45</v>
      </c>
      <c r="F8" s="39">
        <v>45488</v>
      </c>
      <c r="G8" s="97" t="s">
        <v>46</v>
      </c>
      <c r="H8" s="98" t="s">
        <v>47</v>
      </c>
      <c r="I8" s="99" t="s">
        <v>48</v>
      </c>
      <c r="J8" s="88">
        <v>45523</v>
      </c>
      <c r="K8" s="90">
        <v>45476</v>
      </c>
      <c r="L8" s="90"/>
      <c r="M8" s="90">
        <v>46570</v>
      </c>
      <c r="N8" s="72">
        <f t="shared" ref="N8:N19" si="0">DATE(YEAR(M8),MONTH(M8)-3,DAY(M8))</f>
        <v>46479</v>
      </c>
      <c r="O8" s="91">
        <v>45477</v>
      </c>
      <c r="P8" s="92">
        <v>45460</v>
      </c>
      <c r="Q8" s="93"/>
      <c r="R8" s="72">
        <f>DATE(YEAR(P8)+5,MONTH(P8),DAY(P8)-1)</f>
        <v>47285</v>
      </c>
      <c r="S8" s="72">
        <f t="shared" ref="S8" si="1">DATE(YEAR(R8),MONTH(R8)-3,DAY(R8))</f>
        <v>47193</v>
      </c>
      <c r="T8" s="66">
        <v>45457</v>
      </c>
      <c r="U8" s="89"/>
      <c r="V8" s="9">
        <v>46085</v>
      </c>
      <c r="W8" s="89">
        <v>47180</v>
      </c>
      <c r="X8" s="275">
        <f t="shared" ref="X8" si="2">DATE(YEAR(W8),MONTH(W8)-3,DAY(W8))</f>
        <v>47090</v>
      </c>
      <c r="Y8" s="93"/>
      <c r="Z8" s="93">
        <v>45483</v>
      </c>
      <c r="AA8" s="90"/>
      <c r="AB8" s="27">
        <f t="shared" ref="AB8" si="3">DATE(YEAR(Z8)+5,MONTH(Z8),DAY(Z8)-1)</f>
        <v>47308</v>
      </c>
      <c r="AC8" s="72">
        <f t="shared" ref="AC8:AC11" si="4">DATE(YEAR(AB8),MONTH(AB8)-3,DAY(AB8))</f>
        <v>47217</v>
      </c>
      <c r="AD8" s="92">
        <v>45456</v>
      </c>
      <c r="AE8" s="93"/>
      <c r="AF8" s="85">
        <f t="shared" ref="AF8" si="5">DATE(YEAR(AD8)+10,MONTH(AD8),DAY(AD8)-1)</f>
        <v>49107</v>
      </c>
      <c r="AG8" s="72">
        <f t="shared" ref="AG8" si="6">DATE(YEAR(AF8),MONTH(AF8)-3,DAY(AF8))</f>
        <v>49015</v>
      </c>
      <c r="AH8" s="92"/>
      <c r="AI8" s="93"/>
      <c r="AJ8" s="90"/>
      <c r="AK8" s="72"/>
      <c r="AL8" s="92"/>
      <c r="AM8" s="93"/>
      <c r="AN8" s="90"/>
      <c r="AO8" s="76"/>
      <c r="AP8" s="92"/>
      <c r="AQ8" s="92"/>
      <c r="AR8" s="240">
        <v>46115</v>
      </c>
      <c r="AS8" s="241"/>
      <c r="AT8" s="242">
        <v>46479</v>
      </c>
      <c r="AU8" s="243">
        <v>46389</v>
      </c>
      <c r="AV8" s="92"/>
      <c r="AW8" s="93"/>
      <c r="AX8" s="90"/>
      <c r="AY8" s="275"/>
      <c r="AZ8" s="266"/>
      <c r="BA8" s="76"/>
      <c r="BB8" s="275"/>
      <c r="BC8" s="266"/>
      <c r="BD8" s="76"/>
      <c r="BE8" s="76"/>
      <c r="BF8" s="76"/>
      <c r="BG8" s="199"/>
      <c r="BH8" s="207"/>
    </row>
    <row r="9" spans="1:60" s="81" customFormat="1" x14ac:dyDescent="0.3">
      <c r="A9">
        <f>A8+1</f>
        <v>2</v>
      </c>
      <c r="B9" s="18" t="s">
        <v>247</v>
      </c>
      <c r="C9" s="1" t="s">
        <v>248</v>
      </c>
      <c r="D9" s="20" t="s">
        <v>56</v>
      </c>
      <c r="E9" s="109" t="s">
        <v>249</v>
      </c>
      <c r="F9" s="39">
        <v>46188</v>
      </c>
      <c r="G9" s="97" t="s">
        <v>58</v>
      </c>
      <c r="H9" s="98"/>
      <c r="I9" s="99" t="s">
        <v>63</v>
      </c>
      <c r="J9" s="320"/>
      <c r="K9" s="321"/>
      <c r="L9" s="90"/>
      <c r="M9" s="90"/>
      <c r="N9" s="72"/>
      <c r="O9" s="91"/>
      <c r="P9" s="92"/>
      <c r="Q9" s="93"/>
      <c r="R9" s="72"/>
      <c r="S9" s="72"/>
      <c r="T9" s="66"/>
      <c r="U9" s="89"/>
      <c r="V9" s="9"/>
      <c r="W9" s="89"/>
      <c r="X9" s="94"/>
      <c r="Y9" s="93"/>
      <c r="Z9" s="93"/>
      <c r="AA9" s="90"/>
      <c r="AB9" s="27"/>
      <c r="AC9" s="72"/>
      <c r="AD9" s="92"/>
      <c r="AE9" s="93"/>
      <c r="AF9" s="85"/>
      <c r="AG9" s="72"/>
      <c r="AH9" s="92"/>
      <c r="AI9" s="93"/>
      <c r="AJ9" s="294"/>
      <c r="AK9" s="72"/>
      <c r="AL9" s="92"/>
      <c r="AM9" s="93"/>
      <c r="AN9" s="90"/>
      <c r="AO9" s="76"/>
      <c r="AP9" s="92"/>
      <c r="AQ9" s="92"/>
      <c r="AR9" s="92"/>
      <c r="AS9" s="93"/>
      <c r="AT9" s="90"/>
      <c r="AU9" s="94"/>
      <c r="AV9" s="92"/>
      <c r="AW9" s="93"/>
      <c r="AX9" s="90"/>
      <c r="AY9" s="94"/>
      <c r="AZ9" s="266"/>
      <c r="BA9" s="76"/>
      <c r="BB9" s="275"/>
      <c r="BC9" s="266"/>
      <c r="BD9" s="76"/>
      <c r="BE9" s="76"/>
      <c r="BF9" s="76"/>
      <c r="BG9" s="221"/>
      <c r="BH9" s="295"/>
    </row>
    <row r="10" spans="1:60" x14ac:dyDescent="0.3">
      <c r="A10">
        <f t="shared" ref="A10:A12" si="7">A9+1</f>
        <v>3</v>
      </c>
      <c r="B10" s="18" t="s">
        <v>49</v>
      </c>
      <c r="C10" s="1" t="s">
        <v>50</v>
      </c>
      <c r="D10" s="20" t="s">
        <v>51</v>
      </c>
      <c r="E10" s="110" t="s">
        <v>52</v>
      </c>
      <c r="F10" s="39">
        <v>45887</v>
      </c>
      <c r="G10" s="31" t="s">
        <v>53</v>
      </c>
      <c r="H10" s="32" t="s">
        <v>54</v>
      </c>
      <c r="I10" s="33" t="s">
        <v>55</v>
      </c>
      <c r="J10" s="79">
        <v>45680</v>
      </c>
      <c r="K10" s="326"/>
      <c r="L10" s="4"/>
      <c r="M10" s="4"/>
      <c r="N10" s="72"/>
      <c r="O10" s="65"/>
      <c r="P10" s="271"/>
      <c r="Q10" s="10"/>
      <c r="R10" s="72"/>
      <c r="S10" s="72"/>
      <c r="T10" s="26"/>
      <c r="U10" s="9"/>
      <c r="V10" s="9"/>
      <c r="W10" s="118"/>
      <c r="X10" s="94"/>
      <c r="Y10" s="10"/>
      <c r="Z10" s="2"/>
      <c r="AA10" s="2"/>
      <c r="AB10" s="27"/>
      <c r="AC10" s="115"/>
      <c r="AD10" s="17"/>
      <c r="AE10" s="10"/>
      <c r="AF10" s="85"/>
      <c r="AG10" s="72"/>
      <c r="AH10" s="13">
        <v>45386</v>
      </c>
      <c r="AI10" s="10"/>
      <c r="AJ10" s="27">
        <f t="shared" ref="AJ10" si="8">DATE(YEAR(AH10)+5,MONTH(AH10),DAY(AH10)-1)</f>
        <v>47211</v>
      </c>
      <c r="AK10" s="42">
        <f>DATE(YEAR(AJ10),MONTH(AJ10)-3,DAY(AJ10))</f>
        <v>47121</v>
      </c>
      <c r="AL10" s="13"/>
      <c r="AM10" s="10"/>
      <c r="AN10" s="2"/>
      <c r="AO10" s="3"/>
      <c r="AP10" s="13"/>
      <c r="AQ10" s="13"/>
      <c r="AR10" s="13"/>
      <c r="AS10" s="10"/>
      <c r="AT10" s="2"/>
      <c r="AU10" s="41"/>
      <c r="AV10" s="13"/>
      <c r="AW10" s="10"/>
      <c r="AX10" s="2"/>
      <c r="AY10" s="41"/>
      <c r="AZ10" s="61"/>
      <c r="BA10" s="3"/>
      <c r="BB10" s="16"/>
      <c r="BC10" s="61"/>
      <c r="BD10" s="3"/>
      <c r="BE10" s="3"/>
      <c r="BF10" s="3"/>
      <c r="BG10" s="198"/>
      <c r="BH10" s="206"/>
    </row>
    <row r="11" spans="1:60" x14ac:dyDescent="0.3">
      <c r="A11">
        <f t="shared" si="7"/>
        <v>4</v>
      </c>
      <c r="B11" s="18" t="s">
        <v>59</v>
      </c>
      <c r="C11" s="1" t="s">
        <v>60</v>
      </c>
      <c r="D11" s="20" t="s">
        <v>44</v>
      </c>
      <c r="E11" s="109" t="s">
        <v>61</v>
      </c>
      <c r="F11" s="39">
        <v>45677</v>
      </c>
      <c r="G11" s="31" t="s">
        <v>62</v>
      </c>
      <c r="H11" s="32" t="s">
        <v>47</v>
      </c>
      <c r="I11" s="33" t="s">
        <v>63</v>
      </c>
      <c r="J11" s="79">
        <v>45709</v>
      </c>
      <c r="K11" s="3">
        <v>45577</v>
      </c>
      <c r="L11" s="4"/>
      <c r="M11" s="4">
        <v>46671</v>
      </c>
      <c r="N11" s="72">
        <f t="shared" si="0"/>
        <v>46579</v>
      </c>
      <c r="O11" s="182">
        <v>45577</v>
      </c>
      <c r="P11" s="15">
        <v>45719</v>
      </c>
      <c r="Q11" s="10"/>
      <c r="R11" s="72">
        <f t="shared" ref="R11" si="9">DATE(YEAR(P11)+5,MONTH(P11),DAY(P11)-1)</f>
        <v>47544</v>
      </c>
      <c r="S11" s="72">
        <f t="shared" ref="S11" si="10">DATE(YEAR(R11),MONTH(R11)-3,DAY(R11))</f>
        <v>47454</v>
      </c>
      <c r="T11" s="26">
        <v>45583</v>
      </c>
      <c r="U11" s="9"/>
      <c r="V11" s="9">
        <v>46052</v>
      </c>
      <c r="W11" s="137">
        <v>47147</v>
      </c>
      <c r="X11" s="94">
        <f t="shared" ref="X11" si="11">DATE(YEAR(W11),MONTH(W11)-3,DAY(W11))</f>
        <v>47055</v>
      </c>
      <c r="Y11" s="10">
        <v>45645</v>
      </c>
      <c r="Z11" s="2">
        <v>45645</v>
      </c>
      <c r="AA11" s="2"/>
      <c r="AB11" s="27">
        <v>47470</v>
      </c>
      <c r="AC11" s="72">
        <f t="shared" si="4"/>
        <v>47379</v>
      </c>
      <c r="AD11" s="26">
        <v>45632</v>
      </c>
      <c r="AE11" s="10"/>
      <c r="AF11" s="85">
        <f t="shared" ref="AF11" si="12">DATE(YEAR(AD11)+10,MONTH(AD11),DAY(AD11)-1)</f>
        <v>49283</v>
      </c>
      <c r="AG11" s="72">
        <f t="shared" ref="AG11" si="13">DATE(YEAR(AF11),MONTH(AF11)-3,DAY(AF11))</f>
        <v>49192</v>
      </c>
      <c r="AH11" s="13"/>
      <c r="AI11" s="10"/>
      <c r="AJ11" s="2"/>
      <c r="AK11" s="27"/>
      <c r="AL11" s="13"/>
      <c r="AM11" s="10"/>
      <c r="AN11" s="2"/>
      <c r="AO11" s="3"/>
      <c r="AP11" s="13"/>
      <c r="AQ11" s="13"/>
      <c r="AR11" s="26">
        <v>45582</v>
      </c>
      <c r="AS11" s="11"/>
      <c r="AT11" s="9">
        <v>45946</v>
      </c>
      <c r="AU11" s="16">
        <v>45854</v>
      </c>
      <c r="AV11" s="13">
        <v>45629</v>
      </c>
      <c r="AW11" s="10"/>
      <c r="AX11" s="2">
        <v>46359</v>
      </c>
      <c r="AY11" s="41">
        <v>46268</v>
      </c>
      <c r="AZ11" s="61"/>
      <c r="BA11" s="3"/>
      <c r="BB11" s="16"/>
      <c r="BC11" s="61"/>
      <c r="BD11" s="3"/>
      <c r="BE11" s="3"/>
      <c r="BF11" s="3"/>
      <c r="BG11" s="198"/>
      <c r="BH11" s="206"/>
    </row>
    <row r="12" spans="1:60" x14ac:dyDescent="0.3">
      <c r="A12">
        <f t="shared" si="7"/>
        <v>5</v>
      </c>
      <c r="B12" s="18" t="s">
        <v>64</v>
      </c>
      <c r="C12" s="1" t="s">
        <v>65</v>
      </c>
      <c r="D12" s="20" t="s">
        <v>44</v>
      </c>
      <c r="E12" s="109" t="s">
        <v>45</v>
      </c>
      <c r="F12" s="39">
        <v>45411</v>
      </c>
      <c r="G12" s="97" t="s">
        <v>46</v>
      </c>
      <c r="H12" s="32" t="s">
        <v>47</v>
      </c>
      <c r="I12" s="33" t="s">
        <v>48</v>
      </c>
      <c r="J12" s="321">
        <v>45439</v>
      </c>
      <c r="K12" s="326">
        <v>45372</v>
      </c>
      <c r="L12" s="4"/>
      <c r="M12" s="4">
        <v>46466</v>
      </c>
      <c r="N12" s="72">
        <f t="shared" si="0"/>
        <v>46376</v>
      </c>
      <c r="O12" s="65">
        <v>45397</v>
      </c>
      <c r="P12" s="15">
        <v>45387</v>
      </c>
      <c r="Q12" s="10"/>
      <c r="R12" s="27">
        <f t="shared" ref="R12" si="14">DATE(YEAR(P12)+5,MONTH(P12),DAY(P12)-1)</f>
        <v>47212</v>
      </c>
      <c r="S12" s="27">
        <f t="shared" ref="S12" si="15">DATE(YEAR(R12),MONTH(R12)-3,DAY(R12))</f>
        <v>47122</v>
      </c>
      <c r="T12" s="26">
        <v>45369</v>
      </c>
      <c r="U12" s="9"/>
      <c r="V12" s="9">
        <v>46085</v>
      </c>
      <c r="W12" s="89">
        <v>47180</v>
      </c>
      <c r="X12" s="41">
        <f t="shared" ref="X12:X14" si="16">DATE(YEAR(W12),MONTH(W12)-3,DAY(W12))</f>
        <v>47090</v>
      </c>
      <c r="Y12" s="184">
        <v>45772</v>
      </c>
      <c r="Z12" s="2">
        <v>45392</v>
      </c>
      <c r="AA12" s="2"/>
      <c r="AB12" s="27">
        <f>DATE(YEAR(Z12)+5,MONTH(Z12),DAY(Z12)-1)</f>
        <v>47217</v>
      </c>
      <c r="AC12" s="27">
        <f t="shared" ref="AC12" si="17">DATE(YEAR(AB12),MONTH(AB12)-3,DAY(AB12))</f>
        <v>47127</v>
      </c>
      <c r="AD12" s="13">
        <v>45386</v>
      </c>
      <c r="AE12" s="10"/>
      <c r="AF12" s="42">
        <f t="shared" ref="AF12" si="18">DATE(YEAR(AD12)+10,MONTH(AD12),DAY(AD12)-1)</f>
        <v>49037</v>
      </c>
      <c r="AG12" s="27">
        <f t="shared" ref="AG12" si="19">DATE(YEAR(AF12),MONTH(AF12)-3,DAY(AF12))</f>
        <v>48947</v>
      </c>
      <c r="AH12" s="13"/>
      <c r="AI12" s="10"/>
      <c r="AJ12" s="2"/>
      <c r="AK12" s="27"/>
      <c r="AL12" s="13"/>
      <c r="AM12" s="10"/>
      <c r="AN12" s="2"/>
      <c r="AO12" s="3"/>
      <c r="AP12" s="13"/>
      <c r="AQ12" s="13"/>
      <c r="AR12" s="240">
        <v>46115</v>
      </c>
      <c r="AS12" s="241"/>
      <c r="AT12" s="242">
        <v>46479</v>
      </c>
      <c r="AU12" s="243">
        <v>46389</v>
      </c>
      <c r="AV12" s="13"/>
      <c r="AW12" s="10"/>
      <c r="AX12" s="2"/>
      <c r="AY12" s="41"/>
      <c r="AZ12" s="61"/>
      <c r="BA12" s="3"/>
      <c r="BB12" s="16"/>
      <c r="BC12" s="61"/>
      <c r="BD12" s="3"/>
      <c r="BE12" s="3"/>
      <c r="BF12" s="3"/>
      <c r="BG12" s="198"/>
      <c r="BH12" s="206"/>
    </row>
    <row r="13" spans="1:60" x14ac:dyDescent="0.3">
      <c r="A13">
        <f t="shared" ref="A13:A74" si="20">A12+1</f>
        <v>6</v>
      </c>
      <c r="B13" s="19" t="s">
        <v>66</v>
      </c>
      <c r="C13" s="8" t="s">
        <v>67</v>
      </c>
      <c r="D13" s="8" t="s">
        <v>68</v>
      </c>
      <c r="E13" s="111" t="s">
        <v>69</v>
      </c>
      <c r="F13" s="40">
        <v>44361</v>
      </c>
      <c r="G13" s="34" t="s">
        <v>70</v>
      </c>
      <c r="H13" s="35" t="s">
        <v>58</v>
      </c>
      <c r="I13" s="36" t="s">
        <v>63</v>
      </c>
      <c r="J13" s="46">
        <v>44383</v>
      </c>
      <c r="K13" s="327" t="s">
        <v>71</v>
      </c>
      <c r="L13" s="27">
        <v>45691</v>
      </c>
      <c r="M13" s="3">
        <v>46785</v>
      </c>
      <c r="N13" s="72">
        <f t="shared" si="0"/>
        <v>46693</v>
      </c>
      <c r="O13" s="65">
        <v>45310</v>
      </c>
      <c r="P13" s="15">
        <v>44580</v>
      </c>
      <c r="Q13" s="61"/>
      <c r="R13" s="27">
        <f t="shared" ref="R13:R74" si="21">DATE(YEAR(P13)+5,MONTH(P13),DAY(P13)-1)</f>
        <v>46405</v>
      </c>
      <c r="S13" s="27">
        <f t="shared" ref="S13" si="22">DATE(YEAR(R13),MONTH(R13)-3,DAY(R13))</f>
        <v>46313</v>
      </c>
      <c r="T13" s="26">
        <v>45635</v>
      </c>
      <c r="U13" s="7"/>
      <c r="V13" s="7"/>
      <c r="W13" s="9">
        <v>46729</v>
      </c>
      <c r="X13" s="41">
        <f t="shared" si="16"/>
        <v>46638</v>
      </c>
      <c r="Y13" s="11"/>
      <c r="Z13" s="7"/>
      <c r="AA13" s="7"/>
      <c r="AB13" s="27"/>
      <c r="AC13" s="27"/>
      <c r="AD13" s="17"/>
      <c r="AE13" s="11"/>
      <c r="AF13" s="42"/>
      <c r="AG13" s="27"/>
      <c r="AH13" s="17"/>
      <c r="AI13" s="11"/>
      <c r="AJ13" s="7"/>
      <c r="AK13" s="25"/>
      <c r="AL13" s="17"/>
      <c r="AM13" s="11"/>
      <c r="AN13" s="7"/>
      <c r="AO13" s="3"/>
      <c r="AP13" s="17"/>
      <c r="AQ13" s="17"/>
      <c r="AR13" s="26"/>
      <c r="AS13" s="11"/>
      <c r="AT13" s="27"/>
      <c r="AU13" s="41"/>
      <c r="AV13" s="26">
        <v>45688</v>
      </c>
      <c r="AW13" s="11"/>
      <c r="AX13" s="9">
        <v>46418</v>
      </c>
      <c r="AY13" s="16">
        <v>46356</v>
      </c>
      <c r="AZ13" s="61"/>
      <c r="BA13" s="3"/>
      <c r="BB13" s="16"/>
      <c r="BC13" s="61"/>
      <c r="BD13" s="3"/>
      <c r="BE13" s="3"/>
      <c r="BF13" s="3"/>
      <c r="BG13" s="198"/>
      <c r="BH13" s="206"/>
    </row>
    <row r="14" spans="1:60" x14ac:dyDescent="0.3">
      <c r="A14">
        <f t="shared" si="20"/>
        <v>7</v>
      </c>
      <c r="B14" s="225" t="s">
        <v>72</v>
      </c>
      <c r="C14" s="8" t="s">
        <v>73</v>
      </c>
      <c r="D14" s="8" t="s">
        <v>44</v>
      </c>
      <c r="E14" s="111" t="s">
        <v>45</v>
      </c>
      <c r="F14" s="40">
        <v>45901</v>
      </c>
      <c r="G14" s="34" t="s">
        <v>74</v>
      </c>
      <c r="H14" s="32" t="s">
        <v>47</v>
      </c>
      <c r="I14" s="36" t="s">
        <v>63</v>
      </c>
      <c r="J14" s="46">
        <v>45909</v>
      </c>
      <c r="K14" s="3">
        <v>45912</v>
      </c>
      <c r="L14" s="27"/>
      <c r="M14" s="3">
        <v>47007</v>
      </c>
      <c r="N14" s="72">
        <f t="shared" si="0"/>
        <v>46915</v>
      </c>
      <c r="O14" s="65">
        <v>45915</v>
      </c>
      <c r="P14" s="15">
        <v>45908</v>
      </c>
      <c r="Q14" s="61"/>
      <c r="R14" s="27">
        <f t="shared" si="21"/>
        <v>47733</v>
      </c>
      <c r="S14" s="27">
        <f t="shared" ref="S14" si="23">DATE(YEAR(R14),MONTH(R14)-3,DAY(R14))</f>
        <v>47641</v>
      </c>
      <c r="T14" s="26">
        <v>45905</v>
      </c>
      <c r="U14" s="7"/>
      <c r="V14" s="9">
        <v>46087</v>
      </c>
      <c r="W14" s="89">
        <v>47182</v>
      </c>
      <c r="X14" s="41">
        <f t="shared" si="16"/>
        <v>47092</v>
      </c>
      <c r="Y14" s="11"/>
      <c r="Z14" s="9">
        <v>46003</v>
      </c>
      <c r="AA14" s="7"/>
      <c r="AB14" s="27">
        <f t="shared" ref="AB14" si="24">DATE(YEAR(Z14)+5,MONTH(Z14),DAY(Z14)-1)</f>
        <v>47828</v>
      </c>
      <c r="AC14" s="27">
        <f t="shared" ref="AC14" si="25">DATE(YEAR(AB14),MONTH(AB14)-3,DAY(AB14))</f>
        <v>47737</v>
      </c>
      <c r="AD14" s="13">
        <v>46038</v>
      </c>
      <c r="AE14" s="11"/>
      <c r="AF14" s="42">
        <f t="shared" ref="AF14" si="26">DATE(YEAR(AD14)+10,MONTH(AD14),DAY(AD14)-1)</f>
        <v>49689</v>
      </c>
      <c r="AG14" s="27">
        <f t="shared" ref="AG14" si="27">DATE(YEAR(AF14),MONTH(AF14)-3,DAY(AF14))</f>
        <v>49597</v>
      </c>
      <c r="AH14" s="17"/>
      <c r="AI14" s="11"/>
      <c r="AJ14" s="43"/>
      <c r="AK14" s="27"/>
      <c r="AL14" s="17"/>
      <c r="AM14" s="11"/>
      <c r="AN14" s="7"/>
      <c r="AO14" s="3"/>
      <c r="AP14" s="17"/>
      <c r="AQ14" s="17"/>
      <c r="AR14" s="26">
        <v>46052</v>
      </c>
      <c r="AS14" s="11"/>
      <c r="AT14" s="27">
        <v>46416</v>
      </c>
      <c r="AU14" s="41">
        <v>46324</v>
      </c>
      <c r="AV14" s="26"/>
      <c r="AW14" s="11"/>
      <c r="AX14" s="9"/>
      <c r="AY14" s="16"/>
      <c r="AZ14" s="61"/>
      <c r="BA14" s="3"/>
      <c r="BB14" s="16"/>
      <c r="BC14" s="61"/>
      <c r="BD14" s="3"/>
      <c r="BE14" s="3"/>
      <c r="BF14" s="3"/>
      <c r="BG14" s="211"/>
      <c r="BH14" s="206"/>
    </row>
    <row r="15" spans="1:60" x14ac:dyDescent="0.3">
      <c r="A15">
        <f t="shared" si="20"/>
        <v>8</v>
      </c>
      <c r="B15" s="19" t="s">
        <v>75</v>
      </c>
      <c r="C15" s="8" t="s">
        <v>76</v>
      </c>
      <c r="D15" s="8" t="s">
        <v>51</v>
      </c>
      <c r="E15" s="111" t="s">
        <v>77</v>
      </c>
      <c r="F15" s="40">
        <v>44930</v>
      </c>
      <c r="G15" s="34" t="s">
        <v>53</v>
      </c>
      <c r="H15" s="35" t="s">
        <v>54</v>
      </c>
      <c r="I15" s="36" t="s">
        <v>55</v>
      </c>
      <c r="J15" s="46">
        <v>44956</v>
      </c>
      <c r="K15" s="3"/>
      <c r="L15" s="3"/>
      <c r="M15" s="3"/>
      <c r="N15" s="72"/>
      <c r="O15" s="65"/>
      <c r="P15" s="15"/>
      <c r="Q15" s="3"/>
      <c r="R15" s="27"/>
      <c r="S15" s="27"/>
      <c r="T15" s="13"/>
      <c r="U15" s="28"/>
      <c r="V15" s="28"/>
      <c r="W15" s="2"/>
      <c r="X15" s="41"/>
      <c r="Y15" s="47"/>
      <c r="Z15" s="9"/>
      <c r="AA15" s="9"/>
      <c r="AB15" s="3"/>
      <c r="AC15" s="27"/>
      <c r="AD15" s="26"/>
      <c r="AE15" s="12"/>
      <c r="AF15" s="42"/>
      <c r="AG15" s="56"/>
      <c r="AH15" s="26">
        <v>45127</v>
      </c>
      <c r="AI15" s="12"/>
      <c r="AJ15" s="27">
        <f t="shared" ref="AJ15" si="28">DATE(YEAR(AH15)+5,MONTH(AH15),DAY(AH15)-1)</f>
        <v>46953</v>
      </c>
      <c r="AK15" s="27">
        <f>DATE(YEAR(AJ15),MONTH(AJ15)-3,DAY(AJ15))</f>
        <v>46862</v>
      </c>
      <c r="AL15" s="26"/>
      <c r="AM15" s="12"/>
      <c r="AN15" s="9"/>
      <c r="AO15" s="3"/>
      <c r="AP15" s="26"/>
      <c r="AQ15" s="26"/>
      <c r="AR15" s="26"/>
      <c r="AS15" s="9"/>
      <c r="AT15" s="9"/>
      <c r="AU15" s="70"/>
      <c r="AV15" s="26">
        <v>45688</v>
      </c>
      <c r="AW15" s="11"/>
      <c r="AX15" s="9">
        <v>46418</v>
      </c>
      <c r="AY15" s="16">
        <v>46356</v>
      </c>
      <c r="AZ15" s="61"/>
      <c r="BA15" s="3"/>
      <c r="BB15" s="16"/>
      <c r="BC15" s="61"/>
      <c r="BD15" s="3"/>
      <c r="BE15" s="3"/>
      <c r="BF15" s="3"/>
      <c r="BG15" s="198"/>
      <c r="BH15" s="206"/>
    </row>
    <row r="16" spans="1:60" x14ac:dyDescent="0.3">
      <c r="A16">
        <f t="shared" si="20"/>
        <v>9</v>
      </c>
      <c r="B16" s="19" t="s">
        <v>78</v>
      </c>
      <c r="C16" s="8" t="s">
        <v>79</v>
      </c>
      <c r="D16" s="67" t="s">
        <v>56</v>
      </c>
      <c r="E16" s="112" t="s">
        <v>57</v>
      </c>
      <c r="F16" s="40">
        <v>46055</v>
      </c>
      <c r="G16" s="34" t="s">
        <v>80</v>
      </c>
      <c r="H16" s="35" t="s">
        <v>58</v>
      </c>
      <c r="I16" s="36" t="s">
        <v>48</v>
      </c>
      <c r="J16" s="46">
        <v>46069</v>
      </c>
      <c r="K16" s="3">
        <v>46119</v>
      </c>
      <c r="L16" s="3"/>
      <c r="M16" s="3">
        <v>47214</v>
      </c>
      <c r="N16" s="72">
        <f t="shared" si="0"/>
        <v>47124</v>
      </c>
      <c r="O16" s="65"/>
      <c r="P16" s="15"/>
      <c r="Q16" s="61"/>
      <c r="R16" s="27"/>
      <c r="S16" s="27"/>
      <c r="T16" s="13"/>
      <c r="U16" s="28"/>
      <c r="V16" s="28"/>
      <c r="W16" s="2"/>
      <c r="X16" s="41"/>
      <c r="Y16" s="47"/>
      <c r="Z16" s="12"/>
      <c r="AA16" s="9"/>
      <c r="AB16" s="27"/>
      <c r="AC16" s="27"/>
      <c r="AD16" s="26"/>
      <c r="AE16" s="12"/>
      <c r="AF16" s="42"/>
      <c r="AG16" s="49"/>
      <c r="AH16" s="26"/>
      <c r="AI16" s="12"/>
      <c r="AJ16" s="27"/>
      <c r="AK16" s="16"/>
      <c r="AL16" s="12"/>
      <c r="AM16" s="12"/>
      <c r="AN16" s="9"/>
      <c r="AO16" s="42"/>
      <c r="AP16" s="26"/>
      <c r="AQ16" s="26"/>
      <c r="AR16" s="26"/>
      <c r="AS16" s="12"/>
      <c r="AT16" s="212"/>
      <c r="AU16" s="70"/>
      <c r="AV16" s="26"/>
      <c r="AW16" s="11"/>
      <c r="AX16" s="9"/>
      <c r="AY16" s="16"/>
      <c r="AZ16" s="61"/>
      <c r="BA16" s="3"/>
      <c r="BB16" s="16"/>
      <c r="BC16" s="61"/>
      <c r="BD16" s="3"/>
      <c r="BE16" s="3"/>
      <c r="BF16" s="3"/>
      <c r="BG16" s="198"/>
      <c r="BH16" s="255"/>
    </row>
    <row r="17" spans="1:60" x14ac:dyDescent="0.3">
      <c r="A17">
        <f t="shared" si="20"/>
        <v>10</v>
      </c>
      <c r="B17" s="19" t="s">
        <v>81</v>
      </c>
      <c r="C17" s="8" t="s">
        <v>82</v>
      </c>
      <c r="D17" s="20" t="s">
        <v>83</v>
      </c>
      <c r="E17" s="109" t="s">
        <v>84</v>
      </c>
      <c r="F17" s="40">
        <v>44151</v>
      </c>
      <c r="G17" s="34" t="s">
        <v>54</v>
      </c>
      <c r="H17" s="35" t="s">
        <v>58</v>
      </c>
      <c r="I17" s="36" t="s">
        <v>55</v>
      </c>
      <c r="J17" s="46">
        <v>44358</v>
      </c>
      <c r="K17" s="25"/>
      <c r="L17" s="3"/>
      <c r="M17" s="3"/>
      <c r="N17" s="27"/>
      <c r="O17" s="65"/>
      <c r="P17" s="15"/>
      <c r="Q17" s="61"/>
      <c r="R17" s="27"/>
      <c r="S17" s="27"/>
      <c r="T17" s="26"/>
      <c r="U17" s="7"/>
      <c r="V17" s="7"/>
      <c r="W17" s="9"/>
      <c r="X17" s="41"/>
      <c r="Y17" s="11"/>
      <c r="Z17" s="11"/>
      <c r="AA17" s="7"/>
      <c r="AB17" s="27"/>
      <c r="AC17" s="115"/>
      <c r="AD17" s="17"/>
      <c r="AE17" s="11"/>
      <c r="AF17" s="42"/>
      <c r="AG17" s="27"/>
      <c r="AH17" s="26"/>
      <c r="AI17" s="11"/>
      <c r="AJ17" s="27"/>
      <c r="AK17" s="27"/>
      <c r="AL17" s="26"/>
      <c r="AM17" s="11"/>
      <c r="AN17" s="9"/>
      <c r="AO17" s="42"/>
      <c r="AP17" s="26"/>
      <c r="AQ17" s="26"/>
      <c r="AR17" s="13"/>
      <c r="AS17" s="10"/>
      <c r="AT17" s="27"/>
      <c r="AU17" s="16"/>
      <c r="AV17" s="26">
        <v>45688</v>
      </c>
      <c r="AW17" s="11"/>
      <c r="AX17" s="9">
        <v>46418</v>
      </c>
      <c r="AY17" s="16">
        <v>46356</v>
      </c>
      <c r="AZ17" s="61"/>
      <c r="BA17" s="3"/>
      <c r="BB17" s="16"/>
      <c r="BC17" s="61"/>
      <c r="BD17" s="3"/>
      <c r="BE17" s="3"/>
      <c r="BF17" s="3"/>
      <c r="BG17" s="198"/>
      <c r="BH17" s="256" t="s">
        <v>242</v>
      </c>
    </row>
    <row r="18" spans="1:60" s="143" customFormat="1" x14ac:dyDescent="0.3">
      <c r="A18">
        <f t="shared" si="20"/>
        <v>11</v>
      </c>
      <c r="B18" s="225" t="s">
        <v>85</v>
      </c>
      <c r="C18" s="8" t="s">
        <v>86</v>
      </c>
      <c r="D18" s="20" t="s">
        <v>44</v>
      </c>
      <c r="E18" s="109" t="s">
        <v>87</v>
      </c>
      <c r="F18" s="40">
        <v>45628</v>
      </c>
      <c r="G18" s="34" t="s">
        <v>47</v>
      </c>
      <c r="H18" s="133" t="s">
        <v>58</v>
      </c>
      <c r="I18" s="132" t="s">
        <v>55</v>
      </c>
      <c r="J18" s="88">
        <v>45797</v>
      </c>
      <c r="K18" s="25">
        <v>45679</v>
      </c>
      <c r="L18" s="134"/>
      <c r="M18" s="134">
        <v>46773</v>
      </c>
      <c r="N18" s="72">
        <f t="shared" si="0"/>
        <v>46681</v>
      </c>
      <c r="O18" s="91">
        <v>45679</v>
      </c>
      <c r="P18" s="15">
        <v>45663</v>
      </c>
      <c r="Q18" s="135"/>
      <c r="R18" s="72">
        <f t="shared" ref="R18" si="29">DATE(YEAR(P18)+5,MONTH(P18),DAY(P18)-1)</f>
        <v>47488</v>
      </c>
      <c r="S18" s="72">
        <f t="shared" ref="S18" si="30">DATE(YEAR(R18),MONTH(R18)-3,DAY(R18))</f>
        <v>47396</v>
      </c>
      <c r="T18" s="26">
        <v>45632</v>
      </c>
      <c r="U18" s="136"/>
      <c r="V18" s="137"/>
      <c r="W18" s="137">
        <v>46726</v>
      </c>
      <c r="X18" s="41">
        <f t="shared" ref="X18:X20" si="31">DATE(YEAR(W18),MONTH(W18)-3,DAY(W18))</f>
        <v>46635</v>
      </c>
      <c r="Y18" s="83"/>
      <c r="Z18" s="139"/>
      <c r="AA18" s="136"/>
      <c r="AB18" s="138"/>
      <c r="AC18" s="72"/>
      <c r="AD18" s="140"/>
      <c r="AE18" s="139"/>
      <c r="AF18" s="141"/>
      <c r="AG18" s="138"/>
      <c r="AH18" s="265" t="s">
        <v>245</v>
      </c>
      <c r="AI18" s="139"/>
      <c r="AJ18" s="138"/>
      <c r="AK18" s="138"/>
      <c r="AL18" s="142"/>
      <c r="AM18" s="139"/>
      <c r="AN18" s="137"/>
      <c r="AO18" s="141"/>
      <c r="AP18" s="142"/>
      <c r="AQ18" s="142"/>
      <c r="AR18" s="26">
        <v>46052</v>
      </c>
      <c r="AS18" s="10"/>
      <c r="AT18" s="27">
        <v>46416</v>
      </c>
      <c r="AU18" s="41">
        <v>46324</v>
      </c>
      <c r="AV18" s="142"/>
      <c r="AW18" s="139"/>
      <c r="AX18" s="138"/>
      <c r="AY18" s="243"/>
      <c r="AZ18" s="135"/>
      <c r="BA18" s="134"/>
      <c r="BB18" s="284"/>
      <c r="BC18" s="135"/>
      <c r="BD18" s="134"/>
      <c r="BE18" s="134"/>
      <c r="BF18" s="134"/>
      <c r="BG18" s="199"/>
      <c r="BH18" s="207"/>
    </row>
    <row r="19" spans="1:60" x14ac:dyDescent="0.3">
      <c r="A19">
        <f t="shared" si="20"/>
        <v>12</v>
      </c>
      <c r="B19" s="225" t="s">
        <v>88</v>
      </c>
      <c r="C19" s="8" t="s">
        <v>89</v>
      </c>
      <c r="D19" s="20" t="s">
        <v>44</v>
      </c>
      <c r="E19" s="109" t="s">
        <v>90</v>
      </c>
      <c r="F19" s="40">
        <v>44298</v>
      </c>
      <c r="G19" s="34" t="s">
        <v>74</v>
      </c>
      <c r="H19" s="32" t="s">
        <v>47</v>
      </c>
      <c r="I19" s="36" t="s">
        <v>55</v>
      </c>
      <c r="J19" s="322">
        <v>45985</v>
      </c>
      <c r="K19" s="327" t="s">
        <v>71</v>
      </c>
      <c r="L19" s="2">
        <v>45457</v>
      </c>
      <c r="M19" s="3">
        <v>46551</v>
      </c>
      <c r="N19" s="27">
        <f t="shared" si="0"/>
        <v>46459</v>
      </c>
      <c r="O19" s="65">
        <v>46003</v>
      </c>
      <c r="P19" s="15">
        <v>44372</v>
      </c>
      <c r="Q19" s="21">
        <v>45989</v>
      </c>
      <c r="R19" s="27">
        <f>DATE(YEAR(Q19)+5,MONTH(P19),DAY(P19)-1)</f>
        <v>47658</v>
      </c>
      <c r="S19" s="27">
        <f t="shared" ref="S19" si="32">DATE(YEAR(R19),MONTH(R19)-3,DAY(R19))</f>
        <v>47566</v>
      </c>
      <c r="T19" s="26">
        <v>44439</v>
      </c>
      <c r="U19" s="9">
        <v>44439</v>
      </c>
      <c r="V19" s="9">
        <v>45742</v>
      </c>
      <c r="W19" s="9">
        <v>46837</v>
      </c>
      <c r="X19" s="41">
        <f t="shared" si="31"/>
        <v>46746</v>
      </c>
      <c r="Y19" s="10">
        <v>45784</v>
      </c>
      <c r="Z19" s="2"/>
      <c r="AA19" s="10">
        <v>46155</v>
      </c>
      <c r="AB19" s="27">
        <f>DATE(YEAR(AA19)+5,MONTH(AA19),DAY(AA19)-1)</f>
        <v>47980</v>
      </c>
      <c r="AC19" s="27">
        <f t="shared" ref="AC19" si="33">DATE(YEAR(AB19),MONTH(AB19)-3,DAY(AB19))</f>
        <v>47891</v>
      </c>
      <c r="AD19" s="13">
        <v>44393</v>
      </c>
      <c r="AE19" s="10"/>
      <c r="AF19" s="42">
        <f t="shared" ref="AF19:AF75" si="34">DATE(YEAR(AD19)+10,MONTH(AD19),DAY(AD19)-1)</f>
        <v>48044</v>
      </c>
      <c r="AG19" s="27">
        <f t="shared" ref="AG19" si="35">DATE(YEAR(AF19),MONTH(AF19)-3,DAY(AF19))</f>
        <v>47953</v>
      </c>
      <c r="AH19" s="13"/>
      <c r="AI19" s="10"/>
      <c r="AJ19" s="27"/>
      <c r="AK19" s="27"/>
      <c r="AL19" s="13"/>
      <c r="AM19" s="10"/>
      <c r="AN19" s="2"/>
      <c r="AO19" s="42"/>
      <c r="AP19" s="13">
        <v>44630</v>
      </c>
      <c r="AQ19" s="13"/>
      <c r="AR19" s="26">
        <v>46052</v>
      </c>
      <c r="AS19" s="10"/>
      <c r="AT19" s="27">
        <v>46416</v>
      </c>
      <c r="AU19" s="41">
        <v>46324</v>
      </c>
      <c r="AV19" s="26">
        <v>45688</v>
      </c>
      <c r="AW19" s="11"/>
      <c r="AX19" s="9">
        <v>46418</v>
      </c>
      <c r="AY19" s="16">
        <v>46356</v>
      </c>
      <c r="AZ19" s="61"/>
      <c r="BA19" s="3"/>
      <c r="BB19" s="16"/>
      <c r="BC19" s="61"/>
      <c r="BD19" s="3"/>
      <c r="BE19" s="3"/>
      <c r="BF19" s="3"/>
      <c r="BG19" s="198"/>
      <c r="BH19" s="206"/>
    </row>
    <row r="20" spans="1:60" x14ac:dyDescent="0.3">
      <c r="A20">
        <f t="shared" si="20"/>
        <v>13</v>
      </c>
      <c r="B20" s="19" t="s">
        <v>91</v>
      </c>
      <c r="C20" s="8" t="s">
        <v>92</v>
      </c>
      <c r="D20" s="8" t="s">
        <v>93</v>
      </c>
      <c r="E20" s="111" t="s">
        <v>94</v>
      </c>
      <c r="F20" s="40">
        <v>44931</v>
      </c>
      <c r="G20" s="34" t="s">
        <v>95</v>
      </c>
      <c r="H20" s="35" t="s">
        <v>70</v>
      </c>
      <c r="I20" s="36" t="s">
        <v>55</v>
      </c>
      <c r="J20" s="46">
        <v>45849</v>
      </c>
      <c r="K20" s="79">
        <v>45021</v>
      </c>
      <c r="L20" s="2">
        <v>46084</v>
      </c>
      <c r="M20" s="2">
        <v>47179</v>
      </c>
      <c r="N20" s="27">
        <f t="shared" ref="N20:N33" si="36">DATE(YEAR(M20),MONTH(M20)-3,DAY(M20))</f>
        <v>47089</v>
      </c>
      <c r="O20" s="65">
        <v>45397</v>
      </c>
      <c r="P20" s="15">
        <v>45023</v>
      </c>
      <c r="Q20" s="61"/>
      <c r="R20" s="27">
        <f t="shared" si="21"/>
        <v>46849</v>
      </c>
      <c r="S20" s="27">
        <f t="shared" ref="S20:S30" si="37">DATE(YEAR(R20),MONTH(R20)-3,DAY(R20))</f>
        <v>46758</v>
      </c>
      <c r="T20" s="26">
        <v>45016</v>
      </c>
      <c r="U20" s="7"/>
      <c r="V20" s="9">
        <v>45735</v>
      </c>
      <c r="W20" s="9">
        <v>46830</v>
      </c>
      <c r="X20" s="41">
        <f t="shared" si="31"/>
        <v>46739</v>
      </c>
      <c r="Y20" s="10"/>
      <c r="Z20" s="2">
        <v>45007</v>
      </c>
      <c r="AA20" s="2"/>
      <c r="AB20" s="27">
        <f>DATE(YEAR(Z20)+5,MONTH(Z20),DAY(Z20)-1)</f>
        <v>46833</v>
      </c>
      <c r="AC20" s="27">
        <f t="shared" ref="AC20:AC30" si="38">DATE(YEAR(AB20),MONTH(AB20)-3,DAY(AB20))</f>
        <v>46742</v>
      </c>
      <c r="AD20" s="13">
        <v>45029</v>
      </c>
      <c r="AE20" s="10"/>
      <c r="AF20" s="42">
        <f t="shared" si="34"/>
        <v>48681</v>
      </c>
      <c r="AG20" s="27">
        <f t="shared" ref="AG20:AG33" si="39">DATE(YEAR(AF20),MONTH(AF20)-3,DAY(AF20))</f>
        <v>48591</v>
      </c>
      <c r="AH20" s="13"/>
      <c r="AI20" s="10"/>
      <c r="AJ20" s="27"/>
      <c r="AK20" s="27"/>
      <c r="AL20" s="13"/>
      <c r="AM20" s="10"/>
      <c r="AN20" s="2"/>
      <c r="AO20" s="42"/>
      <c r="AP20" s="13"/>
      <c r="AQ20" s="13"/>
      <c r="AR20" s="26">
        <v>46052</v>
      </c>
      <c r="AS20" s="12"/>
      <c r="AT20" s="27">
        <v>46416</v>
      </c>
      <c r="AU20" s="41">
        <v>46324</v>
      </c>
      <c r="AV20" s="13">
        <v>45674</v>
      </c>
      <c r="AW20" s="10"/>
      <c r="AX20" s="25">
        <v>46404</v>
      </c>
      <c r="AY20" s="16">
        <v>46343</v>
      </c>
      <c r="AZ20" s="61"/>
      <c r="BA20" s="3"/>
      <c r="BB20" s="16"/>
      <c r="BC20" s="61">
        <v>46013</v>
      </c>
      <c r="BD20" s="3">
        <v>46013</v>
      </c>
      <c r="BE20" s="3"/>
      <c r="BF20" s="3">
        <v>47108</v>
      </c>
      <c r="BG20" s="198"/>
      <c r="BH20" s="206"/>
    </row>
    <row r="21" spans="1:60" x14ac:dyDescent="0.3">
      <c r="A21">
        <f t="shared" si="20"/>
        <v>14</v>
      </c>
      <c r="B21" s="19" t="s">
        <v>96</v>
      </c>
      <c r="C21" s="8" t="s">
        <v>97</v>
      </c>
      <c r="D21" s="8" t="s">
        <v>93</v>
      </c>
      <c r="E21" s="111" t="s">
        <v>98</v>
      </c>
      <c r="F21" s="40">
        <v>45026</v>
      </c>
      <c r="G21" s="101" t="s">
        <v>70</v>
      </c>
      <c r="H21" s="35" t="s">
        <v>58</v>
      </c>
      <c r="I21" s="36" t="s">
        <v>48</v>
      </c>
      <c r="J21" s="46">
        <v>45726</v>
      </c>
      <c r="K21" s="79">
        <v>45317</v>
      </c>
      <c r="L21" s="2"/>
      <c r="M21" s="2">
        <v>46412</v>
      </c>
      <c r="N21" s="27">
        <f t="shared" si="36"/>
        <v>46320</v>
      </c>
      <c r="O21" s="65">
        <v>45397</v>
      </c>
      <c r="P21" s="15">
        <v>45320</v>
      </c>
      <c r="Q21" s="61"/>
      <c r="R21" s="27">
        <f t="shared" si="21"/>
        <v>47146</v>
      </c>
      <c r="S21" s="27">
        <f t="shared" si="37"/>
        <v>47054</v>
      </c>
      <c r="T21" s="26">
        <v>45302</v>
      </c>
      <c r="U21" s="9"/>
      <c r="V21" s="89">
        <v>45735</v>
      </c>
      <c r="W21" s="9">
        <v>46830</v>
      </c>
      <c r="X21" s="41">
        <f t="shared" ref="X21:X33" si="40">DATE(YEAR(W21),MONTH(W21)-3,DAY(W21))</f>
        <v>46739</v>
      </c>
      <c r="Y21" s="10"/>
      <c r="Z21" s="2"/>
      <c r="AA21" s="2"/>
      <c r="AB21" s="27"/>
      <c r="AC21" s="27"/>
      <c r="AD21" s="13"/>
      <c r="AE21" s="10"/>
      <c r="AF21" s="42"/>
      <c r="AG21" s="27"/>
      <c r="AH21" s="13">
        <v>45225</v>
      </c>
      <c r="AI21" s="10"/>
      <c r="AJ21" s="27">
        <f t="shared" ref="AJ21" si="41">DATE(YEAR(AH21)+5,MONTH(AH21),DAY(AH21)-1)</f>
        <v>47051</v>
      </c>
      <c r="AK21" s="27">
        <f t="shared" ref="AK21" si="42">DATE(YEAR(AJ21),MONTH(AJ21)-3,DAY(AJ21))</f>
        <v>46959</v>
      </c>
      <c r="AL21" s="13"/>
      <c r="AM21" s="10"/>
      <c r="AN21" s="2"/>
      <c r="AO21" s="42"/>
      <c r="AP21" s="13"/>
      <c r="AQ21" s="13"/>
      <c r="AR21" s="240">
        <v>46115</v>
      </c>
      <c r="AS21" s="241"/>
      <c r="AT21" s="242">
        <v>46479</v>
      </c>
      <c r="AU21" s="243">
        <v>46389</v>
      </c>
      <c r="AV21" s="13">
        <v>45674</v>
      </c>
      <c r="AW21" s="10"/>
      <c r="AX21" s="42">
        <v>46404</v>
      </c>
      <c r="AY21" s="41">
        <v>46312</v>
      </c>
      <c r="AZ21" s="61"/>
      <c r="BA21" s="3"/>
      <c r="BB21" s="16"/>
      <c r="BC21" s="61"/>
      <c r="BD21" s="3"/>
      <c r="BE21" s="3"/>
      <c r="BF21" s="3"/>
      <c r="BG21" s="198"/>
      <c r="BH21" s="206"/>
    </row>
    <row r="22" spans="1:60" s="170" customFormat="1" x14ac:dyDescent="0.3">
      <c r="A22">
        <f t="shared" si="20"/>
        <v>15</v>
      </c>
      <c r="B22" s="19" t="s">
        <v>99</v>
      </c>
      <c r="C22" s="8" t="s">
        <v>100</v>
      </c>
      <c r="D22" s="8" t="s">
        <v>44</v>
      </c>
      <c r="E22" s="111" t="s">
        <v>61</v>
      </c>
      <c r="F22" s="40">
        <v>45600</v>
      </c>
      <c r="G22" s="101" t="s">
        <v>62</v>
      </c>
      <c r="H22" s="32" t="s">
        <v>47</v>
      </c>
      <c r="I22" s="36" t="s">
        <v>55</v>
      </c>
      <c r="J22" s="88">
        <v>45761</v>
      </c>
      <c r="K22" s="79">
        <v>45602</v>
      </c>
      <c r="L22" s="2"/>
      <c r="M22" s="2">
        <v>46696</v>
      </c>
      <c r="N22" s="27">
        <f t="shared" si="36"/>
        <v>46604</v>
      </c>
      <c r="O22" s="65">
        <v>45602</v>
      </c>
      <c r="P22" s="15">
        <v>45604</v>
      </c>
      <c r="Q22" s="61"/>
      <c r="R22" s="27">
        <f t="shared" ref="R22" si="43">DATE(YEAR(P22)+5,MONTH(P22),DAY(P22)-1)</f>
        <v>47429</v>
      </c>
      <c r="S22" s="27">
        <f t="shared" ref="S22" si="44">DATE(YEAR(R22),MONTH(R22)-3,DAY(R22))</f>
        <v>47337</v>
      </c>
      <c r="T22" s="26">
        <v>45608</v>
      </c>
      <c r="U22" s="9"/>
      <c r="V22" s="9">
        <v>46052</v>
      </c>
      <c r="W22" s="137">
        <v>47147</v>
      </c>
      <c r="X22" s="41">
        <f t="shared" ref="X22" si="45">DATE(YEAR(W22),MONTH(W22)-3,DAY(W22))</f>
        <v>47055</v>
      </c>
      <c r="Y22" s="10"/>
      <c r="Z22" s="2">
        <v>45617</v>
      </c>
      <c r="AA22" s="2"/>
      <c r="AB22" s="27">
        <f t="shared" ref="AB22:AB23" si="46">DATE(YEAR(Z22)+5,MONTH(Z22),DAY(Z22)-1)</f>
        <v>47442</v>
      </c>
      <c r="AC22" s="27">
        <f t="shared" ref="AC22" si="47">DATE(YEAR(AB22),MONTH(AB22)-3,DAY(AB22))</f>
        <v>47350</v>
      </c>
      <c r="AD22" s="13">
        <v>45623</v>
      </c>
      <c r="AE22" s="10"/>
      <c r="AF22" s="42">
        <f t="shared" ref="AF22" si="48">DATE(YEAR(AD22)+10,MONTH(AD22),DAY(AD22)-1)</f>
        <v>49274</v>
      </c>
      <c r="AG22" s="27">
        <f t="shared" ref="AG22" si="49">DATE(YEAR(AF22),MONTH(AF22)-3,DAY(AF22))</f>
        <v>49182</v>
      </c>
      <c r="AH22" s="157"/>
      <c r="AI22" s="155"/>
      <c r="AJ22" s="27"/>
      <c r="AK22" s="27"/>
      <c r="AL22" s="157"/>
      <c r="AM22" s="155"/>
      <c r="AN22" s="171"/>
      <c r="AO22" s="156"/>
      <c r="AP22" s="13" t="s">
        <v>101</v>
      </c>
      <c r="AQ22" s="157"/>
      <c r="AR22" s="17"/>
      <c r="AS22" s="11"/>
      <c r="AT22" s="27"/>
      <c r="AU22" s="41"/>
      <c r="AV22" s="157"/>
      <c r="AW22" s="155"/>
      <c r="AX22" s="146"/>
      <c r="AY22" s="169"/>
      <c r="AZ22" s="277"/>
      <c r="BA22" s="216"/>
      <c r="BB22" s="285"/>
      <c r="BC22" s="277"/>
      <c r="BD22" s="216"/>
      <c r="BE22" s="216"/>
      <c r="BF22" s="216"/>
      <c r="BG22" s="200"/>
      <c r="BH22" s="257"/>
    </row>
    <row r="23" spans="1:60" x14ac:dyDescent="0.3">
      <c r="A23">
        <f t="shared" si="20"/>
        <v>16</v>
      </c>
      <c r="B23" s="261" t="s">
        <v>102</v>
      </c>
      <c r="C23" s="8" t="s">
        <v>103</v>
      </c>
      <c r="D23" s="20" t="s">
        <v>44</v>
      </c>
      <c r="E23" s="109" t="s">
        <v>87</v>
      </c>
      <c r="F23" s="40">
        <v>43578</v>
      </c>
      <c r="G23" s="34" t="s">
        <v>47</v>
      </c>
      <c r="H23" s="35" t="s">
        <v>58</v>
      </c>
      <c r="I23" s="36" t="s">
        <v>55</v>
      </c>
      <c r="J23" s="46">
        <v>45426</v>
      </c>
      <c r="K23" s="25">
        <v>43844</v>
      </c>
      <c r="L23" s="2">
        <v>44904</v>
      </c>
      <c r="M23" s="224">
        <v>45999</v>
      </c>
      <c r="N23" s="27">
        <f t="shared" si="36"/>
        <v>45908</v>
      </c>
      <c r="O23" s="65">
        <v>45397</v>
      </c>
      <c r="P23" s="15">
        <v>43861</v>
      </c>
      <c r="Q23" s="61"/>
      <c r="R23" s="262">
        <f t="shared" si="21"/>
        <v>45687</v>
      </c>
      <c r="S23" s="27">
        <f t="shared" si="37"/>
        <v>45595</v>
      </c>
      <c r="T23" s="26">
        <v>43650</v>
      </c>
      <c r="U23" s="9">
        <v>43650</v>
      </c>
      <c r="V23" s="89">
        <v>45405</v>
      </c>
      <c r="W23" s="263">
        <v>46134</v>
      </c>
      <c r="X23" s="41">
        <f t="shared" si="40"/>
        <v>46044</v>
      </c>
      <c r="Y23" s="12"/>
      <c r="Z23" s="9">
        <v>43808</v>
      </c>
      <c r="AA23" s="9"/>
      <c r="AB23" s="262">
        <f t="shared" si="46"/>
        <v>45634</v>
      </c>
      <c r="AC23" s="27">
        <f>DATE(YEAR(AB23),MONTH(AB23)-3,DAY(AB23))</f>
        <v>45543</v>
      </c>
      <c r="AD23" s="26">
        <v>44267</v>
      </c>
      <c r="AE23" s="12"/>
      <c r="AF23" s="42">
        <f t="shared" si="34"/>
        <v>47918</v>
      </c>
      <c r="AG23" s="27">
        <f t="shared" si="39"/>
        <v>47828</v>
      </c>
      <c r="AH23" s="26"/>
      <c r="AI23" s="12"/>
      <c r="AJ23" s="27"/>
      <c r="AK23" s="27"/>
      <c r="AL23" s="26"/>
      <c r="AM23" s="12"/>
      <c r="AN23" s="9"/>
      <c r="AO23" s="42"/>
      <c r="AP23" s="26"/>
      <c r="AQ23" s="26">
        <v>43724</v>
      </c>
      <c r="AR23" s="152"/>
      <c r="AS23" s="151"/>
      <c r="AT23" s="145"/>
      <c r="AU23" s="153"/>
      <c r="AV23" s="26"/>
      <c r="AW23" s="12"/>
      <c r="AX23" s="27"/>
      <c r="AY23" s="41"/>
      <c r="AZ23" s="61"/>
      <c r="BA23" s="3"/>
      <c r="BB23" s="16"/>
      <c r="BC23" s="61"/>
      <c r="BD23" s="3"/>
      <c r="BE23" s="3"/>
      <c r="BF23" s="3"/>
      <c r="BG23" s="198"/>
      <c r="BH23" s="250" t="s">
        <v>243</v>
      </c>
    </row>
    <row r="24" spans="1:60" x14ac:dyDescent="0.3">
      <c r="A24">
        <f t="shared" si="20"/>
        <v>17</v>
      </c>
      <c r="B24" s="19" t="s">
        <v>104</v>
      </c>
      <c r="C24" s="8" t="s">
        <v>105</v>
      </c>
      <c r="D24" s="20" t="s">
        <v>56</v>
      </c>
      <c r="E24" s="109" t="s">
        <v>57</v>
      </c>
      <c r="F24" s="40">
        <v>45334</v>
      </c>
      <c r="G24" s="34" t="s">
        <v>80</v>
      </c>
      <c r="H24" s="35" t="s">
        <v>106</v>
      </c>
      <c r="I24" s="36" t="s">
        <v>63</v>
      </c>
      <c r="J24" s="46">
        <v>45362</v>
      </c>
      <c r="K24" s="25">
        <v>45463</v>
      </c>
      <c r="L24" s="2"/>
      <c r="M24" s="2">
        <v>46557</v>
      </c>
      <c r="N24" s="27">
        <f t="shared" si="36"/>
        <v>46465</v>
      </c>
      <c r="O24" s="65"/>
      <c r="P24" s="15"/>
      <c r="Q24" s="61"/>
      <c r="R24" s="27"/>
      <c r="S24" s="27"/>
      <c r="T24" s="26"/>
      <c r="U24" s="9"/>
      <c r="V24" s="37"/>
      <c r="W24" s="37"/>
      <c r="X24" s="41"/>
      <c r="Y24" s="12"/>
      <c r="Z24" s="9"/>
      <c r="AA24" s="9"/>
      <c r="AB24" s="60"/>
      <c r="AC24" s="115"/>
      <c r="AD24" s="26"/>
      <c r="AE24" s="12"/>
      <c r="AF24" s="42"/>
      <c r="AG24" s="27"/>
      <c r="AH24" s="26"/>
      <c r="AI24" s="12"/>
      <c r="AJ24" s="27"/>
      <c r="AK24" s="27"/>
      <c r="AL24" s="26"/>
      <c r="AM24" s="12"/>
      <c r="AN24" s="9"/>
      <c r="AO24" s="42"/>
      <c r="AP24" s="26"/>
      <c r="AQ24" s="26"/>
      <c r="AR24" s="13"/>
      <c r="AS24" s="10"/>
      <c r="AT24" s="27"/>
      <c r="AU24" s="16"/>
      <c r="AV24" s="26"/>
      <c r="AW24" s="12"/>
      <c r="AX24" s="27"/>
      <c r="AY24" s="41"/>
      <c r="AZ24" s="61"/>
      <c r="BA24" s="3"/>
      <c r="BB24" s="16"/>
      <c r="BC24" s="61"/>
      <c r="BD24" s="3"/>
      <c r="BE24" s="3"/>
      <c r="BF24" s="3"/>
      <c r="BG24" s="198"/>
      <c r="BH24" s="205"/>
    </row>
    <row r="25" spans="1:60" x14ac:dyDescent="0.3">
      <c r="A25">
        <f t="shared" si="20"/>
        <v>18</v>
      </c>
      <c r="B25" s="19" t="s">
        <v>246</v>
      </c>
      <c r="C25" s="8" t="s">
        <v>97</v>
      </c>
      <c r="D25" s="20" t="s">
        <v>56</v>
      </c>
      <c r="E25" s="109" t="s">
        <v>250</v>
      </c>
      <c r="F25" s="40">
        <v>46181</v>
      </c>
      <c r="G25" s="34" t="s">
        <v>251</v>
      </c>
      <c r="H25" s="35" t="s">
        <v>58</v>
      </c>
      <c r="I25" s="36" t="s">
        <v>48</v>
      </c>
      <c r="J25" s="46">
        <v>46181</v>
      </c>
      <c r="K25" s="25"/>
      <c r="L25" s="2"/>
      <c r="M25" s="2"/>
      <c r="N25" s="27"/>
      <c r="O25" s="65"/>
      <c r="P25" s="15"/>
      <c r="Q25" s="61"/>
      <c r="R25" s="27"/>
      <c r="S25" s="27"/>
      <c r="T25" s="26"/>
      <c r="U25" s="9"/>
      <c r="V25" s="37"/>
      <c r="W25" s="37"/>
      <c r="X25" s="41"/>
      <c r="Y25" s="12"/>
      <c r="Z25" s="9"/>
      <c r="AA25" s="9"/>
      <c r="AB25" s="27"/>
      <c r="AC25" s="115"/>
      <c r="AD25" s="26"/>
      <c r="AE25" s="12"/>
      <c r="AF25" s="42"/>
      <c r="AG25" s="27"/>
      <c r="AH25" s="26"/>
      <c r="AI25" s="12"/>
      <c r="AJ25" s="27"/>
      <c r="AK25" s="27"/>
      <c r="AL25" s="26"/>
      <c r="AM25" s="12"/>
      <c r="AN25" s="9"/>
      <c r="AO25" s="42"/>
      <c r="AP25" s="26"/>
      <c r="AQ25" s="26"/>
      <c r="AR25" s="13"/>
      <c r="AS25" s="10"/>
      <c r="AT25" s="27"/>
      <c r="AU25" s="16"/>
      <c r="AV25" s="26"/>
      <c r="AW25" s="12"/>
      <c r="AX25" s="27"/>
      <c r="AY25" s="41"/>
      <c r="AZ25" s="61"/>
      <c r="BA25" s="3"/>
      <c r="BB25" s="16"/>
      <c r="BC25" s="61"/>
      <c r="BD25" s="3"/>
      <c r="BE25" s="3"/>
      <c r="BF25" s="3"/>
      <c r="BG25" s="211"/>
      <c r="BH25" s="296"/>
    </row>
    <row r="26" spans="1:60" x14ac:dyDescent="0.3">
      <c r="A26">
        <f t="shared" si="20"/>
        <v>19</v>
      </c>
      <c r="B26" s="19" t="s">
        <v>107</v>
      </c>
      <c r="C26" s="8" t="s">
        <v>108</v>
      </c>
      <c r="D26" s="20" t="s">
        <v>56</v>
      </c>
      <c r="E26" s="109" t="s">
        <v>109</v>
      </c>
      <c r="F26" s="40">
        <v>44067</v>
      </c>
      <c r="G26" s="34" t="s">
        <v>106</v>
      </c>
      <c r="H26" s="35" t="s">
        <v>58</v>
      </c>
      <c r="I26" s="36" t="s">
        <v>63</v>
      </c>
      <c r="J26" s="88">
        <v>45804</v>
      </c>
      <c r="K26" s="79">
        <v>45463</v>
      </c>
      <c r="L26" s="4"/>
      <c r="M26" s="4">
        <v>46557</v>
      </c>
      <c r="N26" s="27">
        <f t="shared" si="36"/>
        <v>46465</v>
      </c>
      <c r="O26" s="65"/>
      <c r="P26" s="15"/>
      <c r="Q26" s="61"/>
      <c r="R26" s="27"/>
      <c r="S26" s="27"/>
      <c r="T26" s="26"/>
      <c r="U26" s="9"/>
      <c r="V26" s="37"/>
      <c r="W26" s="37"/>
      <c r="X26" s="41"/>
      <c r="Y26" s="12"/>
      <c r="Z26" s="9"/>
      <c r="AA26" s="9"/>
      <c r="AB26" s="60"/>
      <c r="AC26" s="115"/>
      <c r="AD26" s="26"/>
      <c r="AE26" s="12"/>
      <c r="AF26" s="42"/>
      <c r="AG26" s="27"/>
      <c r="AH26" s="26"/>
      <c r="AI26" s="12"/>
      <c r="AJ26" s="27"/>
      <c r="AK26" s="27"/>
      <c r="AL26" s="26"/>
      <c r="AM26" s="12"/>
      <c r="AN26" s="9"/>
      <c r="AO26" s="42"/>
      <c r="AP26" s="26"/>
      <c r="AQ26" s="26"/>
      <c r="AR26" s="13"/>
      <c r="AS26" s="10"/>
      <c r="AT26" s="27"/>
      <c r="AU26" s="16"/>
      <c r="AV26" s="26"/>
      <c r="AW26" s="12"/>
      <c r="AX26" s="27"/>
      <c r="AY26" s="41"/>
      <c r="AZ26" s="61"/>
      <c r="BA26" s="3"/>
      <c r="BB26" s="16"/>
      <c r="BC26" s="61"/>
      <c r="BD26" s="3"/>
      <c r="BE26" s="3"/>
      <c r="BF26" s="3"/>
      <c r="BG26" s="198"/>
      <c r="BH26" s="206"/>
    </row>
    <row r="27" spans="1:60" x14ac:dyDescent="0.3">
      <c r="A27">
        <f t="shared" si="20"/>
        <v>20</v>
      </c>
      <c r="B27" s="19" t="s">
        <v>110</v>
      </c>
      <c r="C27" s="8" t="s">
        <v>111</v>
      </c>
      <c r="D27" s="20" t="s">
        <v>51</v>
      </c>
      <c r="E27" s="109" t="s">
        <v>112</v>
      </c>
      <c r="F27" s="40">
        <v>45474</v>
      </c>
      <c r="G27" s="34" t="s">
        <v>54</v>
      </c>
      <c r="H27" s="35" t="s">
        <v>58</v>
      </c>
      <c r="I27" s="36" t="s">
        <v>63</v>
      </c>
      <c r="J27" s="88">
        <v>45590</v>
      </c>
      <c r="K27" s="79"/>
      <c r="L27" s="4"/>
      <c r="M27" s="4"/>
      <c r="N27" s="27"/>
      <c r="O27" s="65"/>
      <c r="P27" s="15"/>
      <c r="Q27" s="61"/>
      <c r="R27" s="27"/>
      <c r="S27" s="27"/>
      <c r="T27" s="26"/>
      <c r="U27" s="9"/>
      <c r="V27" s="37"/>
      <c r="W27" s="37"/>
      <c r="X27" s="41"/>
      <c r="Y27" s="12"/>
      <c r="Z27" s="9"/>
      <c r="AA27" s="9"/>
      <c r="AB27" s="27"/>
      <c r="AC27" s="115"/>
      <c r="AD27" s="26"/>
      <c r="AE27" s="12"/>
      <c r="AF27" s="42"/>
      <c r="AG27" s="27"/>
      <c r="AH27" s="107"/>
      <c r="AI27" s="12"/>
      <c r="AJ27" s="27"/>
      <c r="AK27" s="27"/>
      <c r="AL27" s="128">
        <v>45547</v>
      </c>
      <c r="AM27" s="12"/>
      <c r="AN27" s="27">
        <f>DATE(YEAR(AL27)+5,MONTH(AL27),DAY(AL27)-1)</f>
        <v>47372</v>
      </c>
      <c r="AO27" s="42">
        <f t="shared" ref="AO27" si="50">DATE(YEAR(AN27),MONTH(AN27)-3,DAY(AN27))</f>
        <v>47280</v>
      </c>
      <c r="AP27" s="26"/>
      <c r="AQ27" s="26"/>
      <c r="AR27" s="17"/>
      <c r="AS27" s="11"/>
      <c r="AT27" s="27"/>
      <c r="AU27" s="41"/>
      <c r="AV27" s="26">
        <v>45103</v>
      </c>
      <c r="AW27" s="12">
        <v>45793</v>
      </c>
      <c r="AX27" s="27">
        <v>46523</v>
      </c>
      <c r="AY27" s="41">
        <v>46434</v>
      </c>
      <c r="AZ27" s="61"/>
      <c r="BA27" s="3"/>
      <c r="BB27" s="16"/>
      <c r="BC27" s="61"/>
      <c r="BD27" s="3"/>
      <c r="BE27" s="3"/>
      <c r="BF27" s="3"/>
      <c r="BG27" s="198"/>
      <c r="BH27" s="206"/>
    </row>
    <row r="28" spans="1:60" x14ac:dyDescent="0.3">
      <c r="A28">
        <f t="shared" si="20"/>
        <v>21</v>
      </c>
      <c r="B28" s="225" t="s">
        <v>113</v>
      </c>
      <c r="C28" s="8" t="s">
        <v>114</v>
      </c>
      <c r="D28" s="20" t="s">
        <v>44</v>
      </c>
      <c r="E28" s="109" t="s">
        <v>87</v>
      </c>
      <c r="F28" s="40">
        <v>45243</v>
      </c>
      <c r="G28" s="34" t="s">
        <v>47</v>
      </c>
      <c r="H28" s="35" t="s">
        <v>58</v>
      </c>
      <c r="I28" s="36" t="s">
        <v>55</v>
      </c>
      <c r="J28" s="322">
        <v>45974</v>
      </c>
      <c r="K28" s="25">
        <v>45317</v>
      </c>
      <c r="L28" s="5"/>
      <c r="M28" s="3">
        <v>46412</v>
      </c>
      <c r="N28" s="27">
        <f t="shared" si="36"/>
        <v>46320</v>
      </c>
      <c r="O28" s="27"/>
      <c r="P28" s="15">
        <v>45436</v>
      </c>
      <c r="Q28" s="61"/>
      <c r="R28" s="27">
        <f t="shared" si="21"/>
        <v>47261</v>
      </c>
      <c r="S28" s="27">
        <f t="shared" si="37"/>
        <v>47172</v>
      </c>
      <c r="T28" s="26">
        <v>45314</v>
      </c>
      <c r="U28" s="7"/>
      <c r="V28" s="84"/>
      <c r="W28" s="9">
        <v>46409</v>
      </c>
      <c r="X28" s="41">
        <f t="shared" si="40"/>
        <v>46317</v>
      </c>
      <c r="Y28" s="12"/>
      <c r="Z28" s="9">
        <v>45603</v>
      </c>
      <c r="AA28" s="7"/>
      <c r="AB28" s="27">
        <f>DATE(YEAR(Z28)+5,MONTH(Z28),DAY(Z28)-1)</f>
        <v>47428</v>
      </c>
      <c r="AC28" s="72">
        <f t="shared" ref="AC28" si="51">DATE(YEAR(AB28),MONTH(AB28)-3,DAY(AB28))</f>
        <v>47336</v>
      </c>
      <c r="AD28" s="17"/>
      <c r="AE28" s="11"/>
      <c r="AF28" s="42"/>
      <c r="AG28" s="27"/>
      <c r="AH28" s="17"/>
      <c r="AI28" s="11"/>
      <c r="AJ28" s="27"/>
      <c r="AK28" s="27"/>
      <c r="AL28" s="17"/>
      <c r="AM28" s="11"/>
      <c r="AN28" s="7"/>
      <c r="AO28" s="42"/>
      <c r="AP28" s="17"/>
      <c r="AQ28" s="17"/>
      <c r="AR28" s="237"/>
      <c r="AS28" s="11"/>
      <c r="AT28" s="25"/>
      <c r="AU28" s="16"/>
      <c r="AV28" s="13">
        <v>45674</v>
      </c>
      <c r="AW28" s="10"/>
      <c r="AX28" s="27">
        <v>46404</v>
      </c>
      <c r="AY28" s="16">
        <v>46343</v>
      </c>
      <c r="AZ28" s="61"/>
      <c r="BA28" s="3"/>
      <c r="BB28" s="16"/>
      <c r="BC28" s="61"/>
      <c r="BD28" s="3"/>
      <c r="BE28" s="3"/>
      <c r="BF28" s="3"/>
      <c r="BG28" s="198"/>
      <c r="BH28" s="206"/>
    </row>
    <row r="29" spans="1:60" x14ac:dyDescent="0.3">
      <c r="A29">
        <f t="shared" si="20"/>
        <v>22</v>
      </c>
      <c r="B29" s="19" t="s">
        <v>115</v>
      </c>
      <c r="C29" s="8" t="s">
        <v>116</v>
      </c>
      <c r="D29" s="20" t="s">
        <v>51</v>
      </c>
      <c r="E29" s="109" t="s">
        <v>52</v>
      </c>
      <c r="F29" s="40">
        <v>45446</v>
      </c>
      <c r="G29" s="34" t="s">
        <v>53</v>
      </c>
      <c r="H29" s="35" t="s">
        <v>54</v>
      </c>
      <c r="I29" s="36" t="s">
        <v>48</v>
      </c>
      <c r="J29" s="46">
        <v>46160</v>
      </c>
      <c r="K29" s="25"/>
      <c r="L29" s="5"/>
      <c r="M29" s="3"/>
      <c r="N29" s="27"/>
      <c r="O29" s="27"/>
      <c r="P29" s="15"/>
      <c r="Q29" s="61"/>
      <c r="R29" s="27"/>
      <c r="S29" s="27"/>
      <c r="T29" s="26"/>
      <c r="U29" s="7"/>
      <c r="V29" s="7"/>
      <c r="W29" s="9"/>
      <c r="X29" s="41"/>
      <c r="Y29" s="11"/>
      <c r="Z29" s="7"/>
      <c r="AA29" s="7"/>
      <c r="AB29" s="27"/>
      <c r="AC29" s="27"/>
      <c r="AD29" s="17"/>
      <c r="AE29" s="11"/>
      <c r="AF29" s="42"/>
      <c r="AG29" s="27"/>
      <c r="AH29" s="26">
        <v>45624</v>
      </c>
      <c r="AI29" s="11"/>
      <c r="AJ29" s="27">
        <f t="shared" ref="AJ29" si="52">DATE(YEAR(AH29)+5,MONTH(AH29),DAY(AH29)-1)</f>
        <v>47449</v>
      </c>
      <c r="AK29" s="27">
        <f t="shared" ref="AK29" si="53">DATE(YEAR(AJ29),MONTH(AJ29)-3,DAY(AJ29))</f>
        <v>47357</v>
      </c>
      <c r="AL29" s="17"/>
      <c r="AM29" s="11"/>
      <c r="AN29" s="7"/>
      <c r="AO29" s="42"/>
      <c r="AP29" s="17"/>
      <c r="AQ29" s="17"/>
      <c r="AR29" s="26"/>
      <c r="AS29" s="11"/>
      <c r="AT29" s="9"/>
      <c r="AU29" s="16"/>
      <c r="AV29" s="26"/>
      <c r="AW29" s="11"/>
      <c r="AX29" s="27"/>
      <c r="AY29" s="41"/>
      <c r="AZ29" s="61"/>
      <c r="BA29" s="3"/>
      <c r="BB29" s="16"/>
      <c r="BC29" s="61"/>
      <c r="BD29" s="3"/>
      <c r="BE29" s="3"/>
      <c r="BF29" s="3"/>
      <c r="BG29" s="198"/>
      <c r="BH29" s="206"/>
    </row>
    <row r="30" spans="1:60" x14ac:dyDescent="0.3">
      <c r="A30">
        <f t="shared" si="20"/>
        <v>23</v>
      </c>
      <c r="B30" s="225" t="s">
        <v>117</v>
      </c>
      <c r="C30" s="8" t="s">
        <v>118</v>
      </c>
      <c r="D30" s="20" t="s">
        <v>44</v>
      </c>
      <c r="E30" s="109" t="s">
        <v>90</v>
      </c>
      <c r="F30" s="40">
        <v>44074</v>
      </c>
      <c r="G30" s="34" t="s">
        <v>62</v>
      </c>
      <c r="H30" s="32" t="s">
        <v>47</v>
      </c>
      <c r="I30" s="36" t="s">
        <v>55</v>
      </c>
      <c r="J30" s="46">
        <v>45810</v>
      </c>
      <c r="K30" s="25">
        <v>44209</v>
      </c>
      <c r="L30" s="3">
        <v>45329</v>
      </c>
      <c r="M30" s="3">
        <v>46424</v>
      </c>
      <c r="N30" s="77"/>
      <c r="O30" s="65">
        <v>46003</v>
      </c>
      <c r="P30" s="15">
        <v>44209</v>
      </c>
      <c r="Q30" s="21">
        <v>45989</v>
      </c>
      <c r="R30" s="27">
        <f>DATE(YEAR(Q30)+5,MONTH(P30),DAY(P30)-1)</f>
        <v>47495</v>
      </c>
      <c r="S30" s="27">
        <f t="shared" si="37"/>
        <v>47403</v>
      </c>
      <c r="T30" s="26">
        <v>44105</v>
      </c>
      <c r="U30" s="9">
        <v>44105</v>
      </c>
      <c r="V30" s="9">
        <v>45742</v>
      </c>
      <c r="W30" s="9">
        <v>46837</v>
      </c>
      <c r="X30" s="41">
        <f t="shared" si="40"/>
        <v>46746</v>
      </c>
      <c r="Y30" s="10">
        <v>45784</v>
      </c>
      <c r="Z30" s="9">
        <v>44264</v>
      </c>
      <c r="AA30" s="9">
        <v>46079</v>
      </c>
      <c r="AB30" s="27">
        <f>DATE(YEAR(AA30)+5,MONTH(AA30),DAY(AA30)-1)</f>
        <v>47904</v>
      </c>
      <c r="AC30" s="27">
        <f t="shared" si="38"/>
        <v>47812</v>
      </c>
      <c r="AD30" s="26">
        <v>44267</v>
      </c>
      <c r="AE30" s="12"/>
      <c r="AF30" s="42">
        <f t="shared" si="34"/>
        <v>47918</v>
      </c>
      <c r="AG30" s="27">
        <f t="shared" si="39"/>
        <v>47828</v>
      </c>
      <c r="AH30" s="26"/>
      <c r="AI30" s="12"/>
      <c r="AJ30" s="9"/>
      <c r="AK30" s="27"/>
      <c r="AL30" s="26"/>
      <c r="AM30" s="12"/>
      <c r="AN30" s="9"/>
      <c r="AO30" s="42"/>
      <c r="AP30" s="26">
        <v>44375</v>
      </c>
      <c r="AQ30" s="26"/>
      <c r="AR30" s="26">
        <v>46052</v>
      </c>
      <c r="AS30" s="159"/>
      <c r="AT30" s="27">
        <v>46416</v>
      </c>
      <c r="AU30" s="41">
        <v>46324</v>
      </c>
      <c r="AV30" s="13">
        <v>45674</v>
      </c>
      <c r="AW30" s="10"/>
      <c r="AX30" s="27">
        <v>46404</v>
      </c>
      <c r="AY30" s="16">
        <v>46343</v>
      </c>
      <c r="AZ30" s="61"/>
      <c r="BA30" s="3"/>
      <c r="BB30" s="16"/>
      <c r="BC30" s="61"/>
      <c r="BD30" s="3"/>
      <c r="BE30" s="3"/>
      <c r="BF30" s="3"/>
      <c r="BG30" s="198"/>
      <c r="BH30" s="206"/>
    </row>
    <row r="31" spans="1:60" x14ac:dyDescent="0.3">
      <c r="A31">
        <f t="shared" si="20"/>
        <v>24</v>
      </c>
      <c r="B31" s="225" t="s">
        <v>240</v>
      </c>
      <c r="C31" s="8" t="s">
        <v>238</v>
      </c>
      <c r="D31" s="20" t="s">
        <v>56</v>
      </c>
      <c r="E31" s="109" t="s">
        <v>57</v>
      </c>
      <c r="F31" s="40">
        <v>46146</v>
      </c>
      <c r="G31" s="34" t="s">
        <v>80</v>
      </c>
      <c r="H31" s="32" t="s">
        <v>58</v>
      </c>
      <c r="I31" s="36" t="s">
        <v>63</v>
      </c>
      <c r="J31" s="323"/>
      <c r="K31" s="328"/>
      <c r="L31" s="230"/>
      <c r="M31" s="230"/>
      <c r="N31" s="251"/>
      <c r="O31" s="252"/>
      <c r="P31" s="245"/>
      <c r="Q31" s="246"/>
      <c r="R31" s="60"/>
      <c r="S31" s="60"/>
      <c r="T31" s="235"/>
      <c r="U31" s="194"/>
      <c r="V31" s="194"/>
      <c r="W31" s="194"/>
      <c r="X31" s="236"/>
      <c r="Y31" s="234"/>
      <c r="Z31" s="194"/>
      <c r="AA31" s="194"/>
      <c r="AB31" s="60"/>
      <c r="AC31" s="60"/>
      <c r="AD31" s="235"/>
      <c r="AE31" s="231"/>
      <c r="AF31" s="220"/>
      <c r="AG31" s="60"/>
      <c r="AH31" s="235"/>
      <c r="AI31" s="231"/>
      <c r="AJ31" s="194"/>
      <c r="AK31" s="247"/>
      <c r="AL31" s="235"/>
      <c r="AM31" s="231"/>
      <c r="AN31" s="248"/>
      <c r="AO31" s="220"/>
      <c r="AP31" s="235"/>
      <c r="AQ31" s="235"/>
      <c r="AR31" s="235"/>
      <c r="AS31" s="249"/>
      <c r="AT31" s="60"/>
      <c r="AU31" s="236"/>
      <c r="AV31" s="228"/>
      <c r="AW31" s="234"/>
      <c r="AX31" s="60"/>
      <c r="AY31" s="281"/>
      <c r="AZ31" s="278"/>
      <c r="BA31" s="230"/>
      <c r="BB31" s="281"/>
      <c r="BC31" s="278"/>
      <c r="BD31" s="230"/>
      <c r="BE31" s="230"/>
      <c r="BF31" s="230"/>
      <c r="BG31" s="198"/>
      <c r="BH31" s="256" t="s">
        <v>244</v>
      </c>
    </row>
    <row r="32" spans="1:60" x14ac:dyDescent="0.3">
      <c r="A32">
        <f t="shared" si="20"/>
        <v>25</v>
      </c>
      <c r="B32" s="225" t="s">
        <v>237</v>
      </c>
      <c r="C32" s="8" t="s">
        <v>239</v>
      </c>
      <c r="D32" s="20" t="s">
        <v>56</v>
      </c>
      <c r="E32" s="109" t="s">
        <v>57</v>
      </c>
      <c r="F32" s="40">
        <v>46146</v>
      </c>
      <c r="G32" s="34" t="s">
        <v>80</v>
      </c>
      <c r="H32" s="32" t="s">
        <v>58</v>
      </c>
      <c r="I32" s="36" t="s">
        <v>55</v>
      </c>
      <c r="J32" s="323"/>
      <c r="K32" s="328"/>
      <c r="L32" s="230"/>
      <c r="M32" s="230"/>
      <c r="N32" s="251"/>
      <c r="O32" s="252"/>
      <c r="P32" s="245"/>
      <c r="Q32" s="246"/>
      <c r="R32" s="60"/>
      <c r="S32" s="60"/>
      <c r="T32" s="235"/>
      <c r="U32" s="194"/>
      <c r="V32" s="194"/>
      <c r="W32" s="194"/>
      <c r="X32" s="236"/>
      <c r="Y32" s="234"/>
      <c r="Z32" s="194"/>
      <c r="AA32" s="194"/>
      <c r="AB32" s="60"/>
      <c r="AC32" s="60"/>
      <c r="AD32" s="235"/>
      <c r="AE32" s="231"/>
      <c r="AF32" s="220"/>
      <c r="AG32" s="60"/>
      <c r="AH32" s="235"/>
      <c r="AI32" s="231"/>
      <c r="AJ32" s="194"/>
      <c r="AK32" s="247"/>
      <c r="AL32" s="235"/>
      <c r="AM32" s="231"/>
      <c r="AN32" s="248"/>
      <c r="AO32" s="220"/>
      <c r="AP32" s="235"/>
      <c r="AQ32" s="235"/>
      <c r="AR32" s="235"/>
      <c r="AS32" s="249"/>
      <c r="AT32" s="60"/>
      <c r="AU32" s="236"/>
      <c r="AV32" s="228"/>
      <c r="AW32" s="234"/>
      <c r="AX32" s="60"/>
      <c r="AY32" s="281"/>
      <c r="AZ32" s="278"/>
      <c r="BA32" s="230"/>
      <c r="BB32" s="281"/>
      <c r="BC32" s="278"/>
      <c r="BD32" s="230"/>
      <c r="BE32" s="230"/>
      <c r="BF32" s="230"/>
      <c r="BG32" s="198"/>
      <c r="BH32" s="256" t="s">
        <v>244</v>
      </c>
    </row>
    <row r="33" spans="1:60" x14ac:dyDescent="0.3">
      <c r="A33">
        <f t="shared" si="20"/>
        <v>26</v>
      </c>
      <c r="B33" s="225" t="s">
        <v>119</v>
      </c>
      <c r="C33" s="8" t="s">
        <v>120</v>
      </c>
      <c r="D33" s="20" t="s">
        <v>44</v>
      </c>
      <c r="E33" s="109" t="s">
        <v>45</v>
      </c>
      <c r="F33" s="40">
        <v>45369</v>
      </c>
      <c r="G33" s="34" t="s">
        <v>62</v>
      </c>
      <c r="H33" s="32" t="s">
        <v>47</v>
      </c>
      <c r="I33" s="36" t="s">
        <v>55</v>
      </c>
      <c r="J33" s="46">
        <v>45573</v>
      </c>
      <c r="K33" s="3">
        <v>45504</v>
      </c>
      <c r="L33" s="6"/>
      <c r="M33" s="3">
        <v>46598</v>
      </c>
      <c r="N33" s="27">
        <f t="shared" si="36"/>
        <v>46507</v>
      </c>
      <c r="O33" s="100">
        <v>46598</v>
      </c>
      <c r="P33" s="15">
        <v>44518</v>
      </c>
      <c r="Q33" s="61"/>
      <c r="R33" s="27">
        <f t="shared" ref="R33" si="54">DATE(YEAR(P33)+5,MONTH(P33),DAY(P33)-1)</f>
        <v>46343</v>
      </c>
      <c r="S33" s="27">
        <f t="shared" ref="S33" si="55">DATE(YEAR(R33),MONTH(R33)-3,DAY(R33))</f>
        <v>46251</v>
      </c>
      <c r="T33" s="26">
        <v>44372</v>
      </c>
      <c r="U33" s="9">
        <v>45407</v>
      </c>
      <c r="V33" s="9">
        <v>46052</v>
      </c>
      <c r="W33" s="137">
        <v>47147</v>
      </c>
      <c r="X33" s="41">
        <f t="shared" si="40"/>
        <v>47055</v>
      </c>
      <c r="Y33" s="12"/>
      <c r="Z33" s="9">
        <v>44393</v>
      </c>
      <c r="AA33" s="238" t="s">
        <v>121</v>
      </c>
      <c r="AB33" s="27">
        <f>DATE(YEAR(Z33)+5,MONTH(Z33),DAY(Z33)-1)</f>
        <v>46218</v>
      </c>
      <c r="AC33" s="27">
        <f t="shared" ref="AC33" si="56">DATE(YEAR(AB33),MONTH(AB33)-3,DAY(AB33))</f>
        <v>46127</v>
      </c>
      <c r="AD33" s="26">
        <v>45588</v>
      </c>
      <c r="AE33" s="11"/>
      <c r="AF33" s="42">
        <f t="shared" si="34"/>
        <v>49239</v>
      </c>
      <c r="AG33" s="27">
        <f t="shared" si="39"/>
        <v>49147</v>
      </c>
      <c r="AH33" s="17"/>
      <c r="AI33" s="11"/>
      <c r="AJ33" s="7"/>
      <c r="AK33" s="56"/>
      <c r="AL33" s="17"/>
      <c r="AM33" s="11"/>
      <c r="AN33" s="43"/>
      <c r="AO33" s="3"/>
      <c r="AP33" s="17"/>
      <c r="AQ33" s="17"/>
      <c r="AR33" s="237"/>
      <c r="AS33" s="10"/>
      <c r="AT33" s="42"/>
      <c r="AU33" s="41"/>
      <c r="AV33" s="13">
        <v>45674</v>
      </c>
      <c r="AW33" s="10"/>
      <c r="AX33" s="27">
        <v>46404</v>
      </c>
      <c r="AY33" s="16">
        <v>46343</v>
      </c>
      <c r="AZ33" s="61"/>
      <c r="BA33" s="3"/>
      <c r="BB33" s="16"/>
      <c r="BC33" s="61"/>
      <c r="BD33" s="3"/>
      <c r="BE33" s="3"/>
      <c r="BF33" s="3"/>
      <c r="BG33" s="198"/>
      <c r="BH33" s="206"/>
    </row>
    <row r="34" spans="1:60" x14ac:dyDescent="0.3">
      <c r="A34">
        <f t="shared" si="20"/>
        <v>27</v>
      </c>
      <c r="B34" s="19" t="s">
        <v>122</v>
      </c>
      <c r="C34" s="8" t="s">
        <v>123</v>
      </c>
      <c r="D34" s="20" t="s">
        <v>56</v>
      </c>
      <c r="E34" s="109" t="s">
        <v>124</v>
      </c>
      <c r="F34" s="40">
        <v>43578</v>
      </c>
      <c r="G34" s="34" t="s">
        <v>106</v>
      </c>
      <c r="H34" s="32" t="s">
        <v>58</v>
      </c>
      <c r="I34" s="36" t="s">
        <v>55</v>
      </c>
      <c r="J34" s="46"/>
      <c r="K34" s="3"/>
      <c r="L34" s="6"/>
      <c r="M34" s="3"/>
      <c r="N34" s="27"/>
      <c r="O34" s="270"/>
      <c r="P34" s="61"/>
      <c r="Q34" s="61"/>
      <c r="R34" s="27"/>
      <c r="S34" s="27"/>
      <c r="T34" s="26"/>
      <c r="U34" s="9"/>
      <c r="V34" s="62"/>
      <c r="W34" s="9"/>
      <c r="X34" s="41"/>
      <c r="Y34" s="47"/>
      <c r="Z34" s="9"/>
      <c r="AA34" s="7"/>
      <c r="AB34" s="27"/>
      <c r="AC34" s="27"/>
      <c r="AD34" s="26"/>
      <c r="AE34" s="11"/>
      <c r="AF34" s="42"/>
      <c r="AG34" s="27"/>
      <c r="AH34" s="17"/>
      <c r="AI34" s="11"/>
      <c r="AJ34" s="7"/>
      <c r="AK34" s="49"/>
      <c r="AL34" s="17"/>
      <c r="AM34" s="11"/>
      <c r="AN34" s="43"/>
      <c r="AO34" s="42"/>
      <c r="AP34" s="17"/>
      <c r="AQ34" s="17"/>
      <c r="AR34" s="26"/>
      <c r="AS34" s="11"/>
      <c r="AT34" s="27"/>
      <c r="AU34" s="41"/>
      <c r="AV34" s="13">
        <v>45674</v>
      </c>
      <c r="AW34" s="10"/>
      <c r="AX34" s="27">
        <v>46404</v>
      </c>
      <c r="AY34" s="16">
        <v>46343</v>
      </c>
      <c r="AZ34" s="61"/>
      <c r="BA34" s="3"/>
      <c r="BB34" s="16"/>
      <c r="BC34" s="61"/>
      <c r="BD34" s="3"/>
      <c r="BE34" s="3"/>
      <c r="BF34" s="3"/>
      <c r="BG34" s="198"/>
      <c r="BH34" s="256" t="s">
        <v>242</v>
      </c>
    </row>
    <row r="35" spans="1:60" x14ac:dyDescent="0.3">
      <c r="A35">
        <f t="shared" si="20"/>
        <v>28</v>
      </c>
      <c r="B35" s="19" t="s">
        <v>125</v>
      </c>
      <c r="C35" s="8" t="s">
        <v>126</v>
      </c>
      <c r="D35" s="20" t="s">
        <v>44</v>
      </c>
      <c r="E35" s="109" t="s">
        <v>61</v>
      </c>
      <c r="F35" s="40">
        <v>45523</v>
      </c>
      <c r="G35" s="31" t="s">
        <v>127</v>
      </c>
      <c r="H35" s="32" t="s">
        <v>47</v>
      </c>
      <c r="I35" s="36" t="s">
        <v>55</v>
      </c>
      <c r="J35" s="322">
        <v>45993</v>
      </c>
      <c r="K35" s="3">
        <v>45463</v>
      </c>
      <c r="L35" s="3"/>
      <c r="M35" s="3">
        <v>46557</v>
      </c>
      <c r="N35" s="27">
        <f>DATE(YEAR(M35),MONTH(M35)-3,DAY(M35))</f>
        <v>46465</v>
      </c>
      <c r="O35" s="269">
        <v>45477</v>
      </c>
      <c r="P35" s="61">
        <v>45481</v>
      </c>
      <c r="Q35" s="68"/>
      <c r="R35" s="27">
        <f t="shared" ref="R35" si="57">DATE(YEAR(P35)+5,MONTH(P35),DAY(P35)-1)</f>
        <v>47306</v>
      </c>
      <c r="S35" s="27">
        <f t="shared" ref="S35" si="58">DATE(YEAR(R35),MONTH(R35)-3,DAY(R35))</f>
        <v>47215</v>
      </c>
      <c r="T35" s="13">
        <v>45467</v>
      </c>
      <c r="U35" s="2"/>
      <c r="V35" s="9">
        <v>46052</v>
      </c>
      <c r="W35" s="137">
        <v>47147</v>
      </c>
      <c r="X35" s="41">
        <f>DATE(YEAR(W35),MONTH(W35)-3,DAY(W35))</f>
        <v>47055</v>
      </c>
      <c r="Y35" s="47"/>
      <c r="Z35" s="9">
        <v>45471</v>
      </c>
      <c r="AA35" s="7"/>
      <c r="AB35" s="27">
        <f t="shared" ref="AB35:AB41" si="59">DATE(YEAR(Z35)+5,MONTH(Z35),DAY(Z35)-1)</f>
        <v>47296</v>
      </c>
      <c r="AC35" s="27">
        <f t="shared" ref="AC35" si="60">DATE(YEAR(AB35),MONTH(AB35)-3,DAY(AB35))</f>
        <v>47204</v>
      </c>
      <c r="AD35" s="26">
        <v>45490</v>
      </c>
      <c r="AE35" s="69"/>
      <c r="AF35" s="42">
        <f t="shared" ref="AF35" si="61">DATE(YEAR(AD35)+10,MONTH(AD35),DAY(AD35)-1)</f>
        <v>49141</v>
      </c>
      <c r="AG35" s="27">
        <f t="shared" ref="AG35" si="62">DATE(YEAR(AF35),MONTH(AF35)-3,DAY(AF35))</f>
        <v>49050</v>
      </c>
      <c r="AH35" s="17"/>
      <c r="AI35" s="11"/>
      <c r="AJ35" s="7"/>
      <c r="AK35" s="49"/>
      <c r="AL35" s="26"/>
      <c r="AM35" s="11"/>
      <c r="AN35" s="27"/>
      <c r="AO35" s="42"/>
      <c r="AP35" s="26">
        <v>45833</v>
      </c>
      <c r="AQ35" s="26"/>
      <c r="AR35" s="150"/>
      <c r="AS35" s="161"/>
      <c r="AT35" s="146"/>
      <c r="AU35" s="169"/>
      <c r="AV35" s="17"/>
      <c r="AW35" s="11"/>
      <c r="AX35" s="27"/>
      <c r="AY35" s="41"/>
      <c r="AZ35" s="61"/>
      <c r="BA35" s="3"/>
      <c r="BB35" s="16"/>
      <c r="BC35" s="61"/>
      <c r="BD35" s="3"/>
      <c r="BE35" s="3"/>
      <c r="BF35" s="3"/>
      <c r="BG35" s="198"/>
      <c r="BH35" s="206"/>
    </row>
    <row r="36" spans="1:60" x14ac:dyDescent="0.3">
      <c r="A36">
        <f t="shared" si="20"/>
        <v>29</v>
      </c>
      <c r="B36" s="19" t="s">
        <v>128</v>
      </c>
      <c r="C36" s="8" t="s">
        <v>129</v>
      </c>
      <c r="D36" s="8" t="s">
        <v>93</v>
      </c>
      <c r="E36" s="111" t="s">
        <v>130</v>
      </c>
      <c r="F36" s="40">
        <v>44508</v>
      </c>
      <c r="G36" s="34" t="s">
        <v>131</v>
      </c>
      <c r="H36" s="35" t="s">
        <v>70</v>
      </c>
      <c r="I36" s="36" t="s">
        <v>63</v>
      </c>
      <c r="J36" s="46">
        <v>45282</v>
      </c>
      <c r="K36" s="3">
        <v>45671</v>
      </c>
      <c r="L36" s="5"/>
      <c r="M36" s="3">
        <v>46400</v>
      </c>
      <c r="N36" s="27">
        <f>DATE(YEAR(M36),MONTH(M36)-3,DAY(M36))</f>
        <v>46308</v>
      </c>
      <c r="O36" s="41"/>
      <c r="P36" s="61"/>
      <c r="Q36" s="61"/>
      <c r="R36" s="27"/>
      <c r="S36" s="27"/>
      <c r="T36" s="17"/>
      <c r="U36" s="7"/>
      <c r="V36" s="7"/>
      <c r="W36" s="7"/>
      <c r="X36" s="41"/>
      <c r="Y36" s="11"/>
      <c r="Z36" s="7"/>
      <c r="AA36" s="7"/>
      <c r="AB36" s="27"/>
      <c r="AC36" s="27"/>
      <c r="AD36" s="17"/>
      <c r="AE36" s="11"/>
      <c r="AF36" s="42"/>
      <c r="AG36" s="27"/>
      <c r="AH36" s="17"/>
      <c r="AI36" s="11"/>
      <c r="AJ36" s="7"/>
      <c r="AK36" s="56"/>
      <c r="AL36" s="17"/>
      <c r="AM36" s="11"/>
      <c r="AN36" s="7"/>
      <c r="AO36" s="42"/>
      <c r="AP36" s="17"/>
      <c r="AQ36" s="17"/>
      <c r="AR36" s="66"/>
      <c r="AS36" s="83"/>
      <c r="AT36" s="72"/>
      <c r="AU36" s="94"/>
      <c r="AV36" s="17"/>
      <c r="AW36" s="11"/>
      <c r="AX36" s="27"/>
      <c r="AY36" s="41"/>
      <c r="AZ36" s="61"/>
      <c r="BA36" s="3"/>
      <c r="BB36" s="16"/>
      <c r="BC36" s="61"/>
      <c r="BD36" s="3"/>
      <c r="BE36" s="3"/>
      <c r="BF36" s="3"/>
      <c r="BG36" s="198"/>
      <c r="BH36" s="206"/>
    </row>
    <row r="37" spans="1:60" x14ac:dyDescent="0.3">
      <c r="A37">
        <f t="shared" si="20"/>
        <v>30</v>
      </c>
      <c r="B37" s="19" t="s">
        <v>132</v>
      </c>
      <c r="C37" s="8" t="s">
        <v>133</v>
      </c>
      <c r="D37" s="8" t="s">
        <v>93</v>
      </c>
      <c r="E37" s="111" t="s">
        <v>94</v>
      </c>
      <c r="F37" s="40">
        <v>45166</v>
      </c>
      <c r="G37" s="34" t="s">
        <v>95</v>
      </c>
      <c r="H37" s="35" t="s">
        <v>70</v>
      </c>
      <c r="I37" s="36" t="s">
        <v>48</v>
      </c>
      <c r="J37" s="46">
        <v>45845</v>
      </c>
      <c r="K37" s="329" t="s">
        <v>71</v>
      </c>
      <c r="L37" s="3">
        <v>45329</v>
      </c>
      <c r="M37" s="3">
        <v>46424</v>
      </c>
      <c r="N37" s="27">
        <f t="shared" ref="N37:N39" si="63">DATE(YEAR(M37),MONTH(M37)-3,DAY(M37))</f>
        <v>46332</v>
      </c>
      <c r="O37" s="269">
        <v>45397</v>
      </c>
      <c r="P37" s="61">
        <v>45320</v>
      </c>
      <c r="Q37" s="61"/>
      <c r="R37" s="27">
        <f t="shared" si="21"/>
        <v>47146</v>
      </c>
      <c r="S37" s="27">
        <f t="shared" ref="S37:S46" si="64">DATE(YEAR(R37),MONTH(R37)-3,DAY(R37))</f>
        <v>47054</v>
      </c>
      <c r="T37" s="26">
        <v>45302</v>
      </c>
      <c r="U37" s="7"/>
      <c r="V37" s="9">
        <v>45735</v>
      </c>
      <c r="W37" s="9">
        <v>46830</v>
      </c>
      <c r="X37" s="41">
        <f t="shared" ref="X37:X51" si="65">DATE(YEAR(W37),MONTH(W37)-3,DAY(W37))</f>
        <v>46739</v>
      </c>
      <c r="Y37" s="12"/>
      <c r="Z37" s="9">
        <v>45756</v>
      </c>
      <c r="AA37" s="9"/>
      <c r="AB37" s="27">
        <f t="shared" si="59"/>
        <v>47581</v>
      </c>
      <c r="AC37" s="27">
        <f t="shared" ref="AC37" si="66">DATE(YEAR(AB37),MONTH(AB37)-3,DAY(AB37))</f>
        <v>47491</v>
      </c>
      <c r="AD37" s="26">
        <v>45729</v>
      </c>
      <c r="AE37" s="12"/>
      <c r="AF37" s="42">
        <f t="shared" ref="AF37" si="67">DATE(YEAR(AD37)+10,MONTH(AD37),DAY(AD37)-1)</f>
        <v>49380</v>
      </c>
      <c r="AG37" s="27">
        <f t="shared" ref="AG37" si="68">DATE(YEAR(AF37),MONTH(AF37)-3,DAY(AF37))</f>
        <v>49290</v>
      </c>
      <c r="AH37" s="26"/>
      <c r="AI37" s="12"/>
      <c r="AJ37" s="9"/>
      <c r="AK37" s="27"/>
      <c r="AL37" s="26"/>
      <c r="AM37" s="12"/>
      <c r="AN37" s="9"/>
      <c r="AO37" s="42"/>
      <c r="AP37" s="26"/>
      <c r="AQ37" s="26"/>
      <c r="AR37" s="240">
        <v>46115</v>
      </c>
      <c r="AS37" s="241"/>
      <c r="AT37" s="242">
        <v>46479</v>
      </c>
      <c r="AU37" s="243">
        <v>46389</v>
      </c>
      <c r="AV37" s="13">
        <v>45674</v>
      </c>
      <c r="AW37" s="10"/>
      <c r="AX37" s="42">
        <v>46404</v>
      </c>
      <c r="AY37" s="41">
        <v>46312</v>
      </c>
      <c r="AZ37" s="61"/>
      <c r="BA37" s="3"/>
      <c r="BB37" s="16"/>
      <c r="BC37" s="61"/>
      <c r="BD37" s="3"/>
      <c r="BE37" s="3"/>
      <c r="BF37" s="3"/>
      <c r="BG37" s="198"/>
      <c r="BH37" s="206"/>
    </row>
    <row r="38" spans="1:60" x14ac:dyDescent="0.3">
      <c r="A38">
        <f t="shared" si="20"/>
        <v>31</v>
      </c>
      <c r="B38" s="19" t="s">
        <v>134</v>
      </c>
      <c r="C38" s="8" t="s">
        <v>76</v>
      </c>
      <c r="D38" s="67" t="s">
        <v>44</v>
      </c>
      <c r="E38" s="112" t="s">
        <v>135</v>
      </c>
      <c r="F38" s="40">
        <v>44935</v>
      </c>
      <c r="G38" s="34" t="s">
        <v>47</v>
      </c>
      <c r="H38" s="35" t="s">
        <v>58</v>
      </c>
      <c r="I38" s="36" t="s">
        <v>63</v>
      </c>
      <c r="J38" s="46"/>
      <c r="K38" s="329"/>
      <c r="L38" s="3"/>
      <c r="M38" s="3"/>
      <c r="N38" s="27"/>
      <c r="O38" s="41"/>
      <c r="P38" s="61"/>
      <c r="Q38" s="61"/>
      <c r="R38" s="27"/>
      <c r="S38" s="27"/>
      <c r="T38" s="26"/>
      <c r="U38" s="7"/>
      <c r="V38" s="7"/>
      <c r="W38" s="9"/>
      <c r="X38" s="41"/>
      <c r="Y38" s="12"/>
      <c r="Z38" s="12"/>
      <c r="AA38" s="9"/>
      <c r="AB38" s="27"/>
      <c r="AC38" s="27"/>
      <c r="AD38" s="26"/>
      <c r="AE38" s="12"/>
      <c r="AF38" s="42"/>
      <c r="AG38" s="27"/>
      <c r="AH38" s="26"/>
      <c r="AI38" s="12"/>
      <c r="AJ38" s="9"/>
      <c r="AK38" s="27"/>
      <c r="AL38" s="26"/>
      <c r="AM38" s="12"/>
      <c r="AN38" s="9"/>
      <c r="AO38" s="42"/>
      <c r="AP38" s="26"/>
      <c r="AQ38" s="26"/>
      <c r="AR38" s="13"/>
      <c r="AS38" s="10"/>
      <c r="AT38" s="42"/>
      <c r="AU38" s="41"/>
      <c r="AV38" s="26">
        <v>45688</v>
      </c>
      <c r="AW38" s="11"/>
      <c r="AX38" s="9">
        <v>46418</v>
      </c>
      <c r="AY38" s="16">
        <v>46356</v>
      </c>
      <c r="AZ38" s="61"/>
      <c r="BA38" s="3"/>
      <c r="BB38" s="16"/>
      <c r="BC38" s="61"/>
      <c r="BD38" s="3"/>
      <c r="BE38" s="3"/>
      <c r="BF38" s="3"/>
      <c r="BG38" s="198"/>
      <c r="BH38" s="256" t="s">
        <v>242</v>
      </c>
    </row>
    <row r="39" spans="1:60" x14ac:dyDescent="0.3">
      <c r="A39">
        <f t="shared" si="20"/>
        <v>32</v>
      </c>
      <c r="B39" s="19" t="s">
        <v>136</v>
      </c>
      <c r="C39" s="8" t="s">
        <v>137</v>
      </c>
      <c r="D39" s="67" t="s">
        <v>68</v>
      </c>
      <c r="E39" s="112" t="s">
        <v>138</v>
      </c>
      <c r="F39" s="40">
        <v>45901</v>
      </c>
      <c r="G39" s="34" t="s">
        <v>70</v>
      </c>
      <c r="H39" s="35" t="s">
        <v>58</v>
      </c>
      <c r="I39" s="36" t="s">
        <v>63</v>
      </c>
      <c r="J39" s="322">
        <v>45978</v>
      </c>
      <c r="K39" s="3">
        <v>45912</v>
      </c>
      <c r="L39" s="3"/>
      <c r="M39" s="3">
        <v>47007</v>
      </c>
      <c r="N39" s="27">
        <f t="shared" si="63"/>
        <v>46915</v>
      </c>
      <c r="O39" s="16">
        <v>45915</v>
      </c>
      <c r="P39" s="61">
        <v>45919</v>
      </c>
      <c r="Q39" s="61"/>
      <c r="R39" s="27">
        <f t="shared" ref="R39" si="69">DATE(YEAR(P39)+5,MONTH(P39),DAY(P39)-1)</f>
        <v>47744</v>
      </c>
      <c r="S39" s="27">
        <f t="shared" ref="S39" si="70">DATE(YEAR(R39),MONTH(R39)-3,DAY(R39))</f>
        <v>47652</v>
      </c>
      <c r="T39" s="26"/>
      <c r="U39" s="7"/>
      <c r="V39" s="7"/>
      <c r="W39" s="9"/>
      <c r="X39" s="41"/>
      <c r="Y39" s="12"/>
      <c r="Z39" s="12"/>
      <c r="AA39" s="9"/>
      <c r="AB39" s="27"/>
      <c r="AC39" s="27"/>
      <c r="AD39" s="26"/>
      <c r="AE39" s="12"/>
      <c r="AF39" s="42"/>
      <c r="AG39" s="27"/>
      <c r="AH39" s="26"/>
      <c r="AI39" s="12"/>
      <c r="AJ39" s="9"/>
      <c r="AK39" s="27"/>
      <c r="AL39" s="26"/>
      <c r="AM39" s="12"/>
      <c r="AN39" s="9"/>
      <c r="AO39" s="42"/>
      <c r="AP39" s="26"/>
      <c r="AQ39" s="26"/>
      <c r="AR39" s="13"/>
      <c r="AS39" s="10"/>
      <c r="AT39" s="27"/>
      <c r="AU39" s="41"/>
      <c r="AV39" s="26"/>
      <c r="AW39" s="11"/>
      <c r="AX39" s="212"/>
      <c r="AY39" s="41"/>
      <c r="AZ39" s="61"/>
      <c r="BA39" s="3"/>
      <c r="BB39" s="16"/>
      <c r="BC39" s="61"/>
      <c r="BD39" s="3"/>
      <c r="BE39" s="3"/>
      <c r="BF39" s="3"/>
      <c r="BG39" s="198"/>
      <c r="BH39" s="205"/>
    </row>
    <row r="40" spans="1:60" x14ac:dyDescent="0.3">
      <c r="A40">
        <f t="shared" si="20"/>
        <v>33</v>
      </c>
      <c r="B40" s="19" t="s">
        <v>139</v>
      </c>
      <c r="C40" s="8" t="s">
        <v>140</v>
      </c>
      <c r="D40" s="20" t="s">
        <v>44</v>
      </c>
      <c r="E40" s="109" t="s">
        <v>61</v>
      </c>
      <c r="F40" s="40">
        <v>45040</v>
      </c>
      <c r="G40" s="34" t="s">
        <v>141</v>
      </c>
      <c r="H40" s="35" t="s">
        <v>142</v>
      </c>
      <c r="I40" s="36" t="s">
        <v>55</v>
      </c>
      <c r="J40" s="46">
        <v>45426</v>
      </c>
      <c r="K40" s="3">
        <v>44994</v>
      </c>
      <c r="L40" s="2">
        <v>46084</v>
      </c>
      <c r="M40" s="2">
        <v>47179</v>
      </c>
      <c r="N40" s="27">
        <f t="shared" ref="N40:N50" si="71">DATE(YEAR(M40),MONTH(M40)-3,DAY(M40))</f>
        <v>47089</v>
      </c>
      <c r="O40" s="269">
        <v>46003</v>
      </c>
      <c r="P40" s="61">
        <v>44995</v>
      </c>
      <c r="Q40" s="3"/>
      <c r="R40" s="27">
        <f t="shared" si="21"/>
        <v>46821</v>
      </c>
      <c r="S40" s="27">
        <f t="shared" si="64"/>
        <v>46730</v>
      </c>
      <c r="T40" s="26">
        <v>45002</v>
      </c>
      <c r="U40" s="7"/>
      <c r="V40" s="9">
        <v>46052</v>
      </c>
      <c r="W40" s="137">
        <v>47147</v>
      </c>
      <c r="X40" s="41">
        <f t="shared" si="65"/>
        <v>47055</v>
      </c>
      <c r="Y40" s="12"/>
      <c r="Z40" s="12">
        <v>45007</v>
      </c>
      <c r="AA40" s="9"/>
      <c r="AB40" s="27">
        <f t="shared" si="59"/>
        <v>46833</v>
      </c>
      <c r="AC40" s="27">
        <f t="shared" ref="AC40:AC45" si="72">DATE(YEAR(AB40),MONTH(AB40)-3,DAY(AB40))</f>
        <v>46742</v>
      </c>
      <c r="AD40" s="26">
        <v>45001</v>
      </c>
      <c r="AE40" s="11"/>
      <c r="AF40" s="42">
        <f t="shared" si="34"/>
        <v>48653</v>
      </c>
      <c r="AG40" s="27">
        <f t="shared" ref="AG40:AG41" si="73">DATE(YEAR(AF40),MONTH(AF40)-3,DAY(AF40))</f>
        <v>48563</v>
      </c>
      <c r="AH40" s="17"/>
      <c r="AI40" s="11"/>
      <c r="AJ40" s="7"/>
      <c r="AK40" s="27"/>
      <c r="AL40" s="17"/>
      <c r="AM40" s="11"/>
      <c r="AN40" s="7"/>
      <c r="AO40" s="42"/>
      <c r="AP40" s="17"/>
      <c r="AQ40" s="17"/>
      <c r="AR40" s="13"/>
      <c r="AS40" s="10"/>
      <c r="AT40" s="27"/>
      <c r="AU40" s="41"/>
      <c r="AV40" s="17"/>
      <c r="AW40" s="11"/>
      <c r="AX40" s="27"/>
      <c r="AY40" s="41"/>
      <c r="AZ40" s="61"/>
      <c r="BA40" s="3"/>
      <c r="BB40" s="16"/>
      <c r="BC40" s="61"/>
      <c r="BD40" s="3"/>
      <c r="BE40" s="3"/>
      <c r="BF40" s="3"/>
      <c r="BG40" s="198"/>
      <c r="BH40" s="206"/>
    </row>
    <row r="41" spans="1:60" x14ac:dyDescent="0.3">
      <c r="A41">
        <f t="shared" si="20"/>
        <v>34</v>
      </c>
      <c r="B41" s="19" t="s">
        <v>143</v>
      </c>
      <c r="C41" s="8" t="s">
        <v>145</v>
      </c>
      <c r="D41" s="20" t="s">
        <v>44</v>
      </c>
      <c r="E41" s="109" t="s">
        <v>61</v>
      </c>
      <c r="F41" s="40">
        <v>44949</v>
      </c>
      <c r="G41" s="34" t="s">
        <v>141</v>
      </c>
      <c r="H41" s="35" t="s">
        <v>142</v>
      </c>
      <c r="I41" s="36" t="s">
        <v>55</v>
      </c>
      <c r="J41" s="46">
        <v>45814</v>
      </c>
      <c r="K41" s="2">
        <v>45021</v>
      </c>
      <c r="L41" s="2">
        <v>46084</v>
      </c>
      <c r="M41" s="2">
        <v>47179</v>
      </c>
      <c r="N41" s="27">
        <f t="shared" si="71"/>
        <v>47089</v>
      </c>
      <c r="O41" s="65">
        <v>46003</v>
      </c>
      <c r="P41" s="15">
        <v>45023</v>
      </c>
      <c r="Q41" s="3"/>
      <c r="R41" s="27">
        <f t="shared" si="21"/>
        <v>46849</v>
      </c>
      <c r="S41" s="27">
        <f t="shared" si="64"/>
        <v>46758</v>
      </c>
      <c r="T41" s="26">
        <v>45016</v>
      </c>
      <c r="U41" s="7"/>
      <c r="V41" s="89">
        <v>46087</v>
      </c>
      <c r="W41" s="89">
        <v>47182</v>
      </c>
      <c r="X41" s="41">
        <f t="shared" si="65"/>
        <v>47092</v>
      </c>
      <c r="Y41" s="10"/>
      <c r="Z41" s="2">
        <v>45007</v>
      </c>
      <c r="AA41" s="2"/>
      <c r="AB41" s="27">
        <f t="shared" si="59"/>
        <v>46833</v>
      </c>
      <c r="AC41" s="27">
        <f t="shared" si="72"/>
        <v>46742</v>
      </c>
      <c r="AD41" s="13">
        <v>45029</v>
      </c>
      <c r="AE41" s="10"/>
      <c r="AF41" s="42">
        <f t="shared" si="34"/>
        <v>48681</v>
      </c>
      <c r="AG41" s="27">
        <f t="shared" si="73"/>
        <v>48591</v>
      </c>
      <c r="AH41" s="13"/>
      <c r="AI41" s="10"/>
      <c r="AJ41" s="9"/>
      <c r="AK41" s="27"/>
      <c r="AL41" s="13"/>
      <c r="AM41" s="10"/>
      <c r="AN41" s="9"/>
      <c r="AO41" s="42"/>
      <c r="AP41" s="13"/>
      <c r="AQ41" s="13"/>
      <c r="AR41" s="13"/>
      <c r="AS41" s="10"/>
      <c r="AT41" s="27"/>
      <c r="AU41" s="16"/>
      <c r="AV41" s="13">
        <v>45674</v>
      </c>
      <c r="AW41" s="10"/>
      <c r="AX41" s="27">
        <v>46404</v>
      </c>
      <c r="AY41" s="16">
        <v>46343</v>
      </c>
      <c r="AZ41" s="61"/>
      <c r="BA41" s="3"/>
      <c r="BB41" s="16"/>
      <c r="BC41" s="61"/>
      <c r="BD41" s="3"/>
      <c r="BE41" s="3"/>
      <c r="BF41" s="3"/>
      <c r="BG41" s="198"/>
      <c r="BH41" s="206"/>
    </row>
    <row r="42" spans="1:60" x14ac:dyDescent="0.3">
      <c r="A42">
        <f t="shared" si="20"/>
        <v>35</v>
      </c>
      <c r="B42" s="19" t="s">
        <v>146</v>
      </c>
      <c r="C42" s="8" t="s">
        <v>147</v>
      </c>
      <c r="D42" s="20" t="s">
        <v>148</v>
      </c>
      <c r="E42" s="109" t="s">
        <v>149</v>
      </c>
      <c r="F42" s="40">
        <v>45971</v>
      </c>
      <c r="G42" s="34" t="s">
        <v>58</v>
      </c>
      <c r="H42" s="35"/>
      <c r="I42" s="36" t="s">
        <v>63</v>
      </c>
      <c r="J42" s="46">
        <v>46030</v>
      </c>
      <c r="K42" s="2">
        <v>45995</v>
      </c>
      <c r="L42" s="5"/>
      <c r="M42" s="3">
        <v>47090</v>
      </c>
      <c r="N42" s="27">
        <f t="shared" si="71"/>
        <v>46999</v>
      </c>
      <c r="O42" s="65">
        <v>46104</v>
      </c>
      <c r="P42" s="15"/>
      <c r="Q42" s="61"/>
      <c r="R42" s="27"/>
      <c r="S42" s="27"/>
      <c r="T42" s="26">
        <v>45982</v>
      </c>
      <c r="U42" s="7"/>
      <c r="V42" s="7"/>
      <c r="W42" s="9">
        <v>47077</v>
      </c>
      <c r="X42" s="41">
        <f t="shared" si="65"/>
        <v>46985</v>
      </c>
      <c r="Y42" s="10"/>
      <c r="Z42" s="2"/>
      <c r="AA42" s="2"/>
      <c r="AB42" s="27"/>
      <c r="AC42" s="27"/>
      <c r="AD42" s="13"/>
      <c r="AE42" s="10"/>
      <c r="AF42" s="42"/>
      <c r="AG42" s="27"/>
      <c r="AH42" s="13"/>
      <c r="AI42" s="10"/>
      <c r="AJ42" s="9"/>
      <c r="AK42" s="27"/>
      <c r="AL42" s="13"/>
      <c r="AM42" s="10"/>
      <c r="AN42" s="9"/>
      <c r="AO42" s="42"/>
      <c r="AP42" s="13"/>
      <c r="AQ42" s="13"/>
      <c r="AR42" s="13"/>
      <c r="AS42" s="10"/>
      <c r="AT42" s="27"/>
      <c r="AU42" s="41"/>
      <c r="AV42" s="13"/>
      <c r="AW42" s="10"/>
      <c r="AX42" s="27"/>
      <c r="AY42" s="41"/>
      <c r="AZ42" s="61"/>
      <c r="BA42" s="3"/>
      <c r="BB42" s="16"/>
      <c r="BC42" s="61"/>
      <c r="BD42" s="3"/>
      <c r="BE42" s="3"/>
      <c r="BF42" s="3"/>
      <c r="BG42" s="198"/>
      <c r="BH42" s="206"/>
    </row>
    <row r="43" spans="1:60" x14ac:dyDescent="0.3">
      <c r="A43">
        <f t="shared" si="20"/>
        <v>36</v>
      </c>
      <c r="B43" s="19" t="s">
        <v>150</v>
      </c>
      <c r="C43" s="8" t="s">
        <v>151</v>
      </c>
      <c r="D43" s="20" t="s">
        <v>93</v>
      </c>
      <c r="E43" s="109" t="s">
        <v>152</v>
      </c>
      <c r="F43" s="40">
        <v>44655</v>
      </c>
      <c r="G43" s="34" t="s">
        <v>70</v>
      </c>
      <c r="H43" s="35" t="s">
        <v>58</v>
      </c>
      <c r="I43" s="36" t="s">
        <v>55</v>
      </c>
      <c r="J43" s="46">
        <v>44956</v>
      </c>
      <c r="K43" s="79">
        <v>45712</v>
      </c>
      <c r="L43" s="5"/>
      <c r="M43" s="3">
        <v>46806</v>
      </c>
      <c r="N43" s="27">
        <f t="shared" si="71"/>
        <v>46714</v>
      </c>
      <c r="O43" s="27"/>
      <c r="P43" s="15"/>
      <c r="Q43" s="61"/>
      <c r="R43" s="27"/>
      <c r="S43" s="27"/>
      <c r="T43" s="26"/>
      <c r="U43" s="7"/>
      <c r="V43" s="7"/>
      <c r="W43" s="9"/>
      <c r="X43" s="41"/>
      <c r="Y43" s="10"/>
      <c r="Z43" s="2"/>
      <c r="AA43" s="2"/>
      <c r="AB43" s="27"/>
      <c r="AC43" s="27"/>
      <c r="AD43" s="13"/>
      <c r="AE43" s="10"/>
      <c r="AF43" s="42"/>
      <c r="AG43" s="27"/>
      <c r="AH43" s="13"/>
      <c r="AI43" s="10"/>
      <c r="AJ43" s="9"/>
      <c r="AK43" s="27"/>
      <c r="AL43" s="13"/>
      <c r="AM43" s="10"/>
      <c r="AN43" s="9"/>
      <c r="AO43" s="42"/>
      <c r="AP43" s="13"/>
      <c r="AQ43" s="13"/>
      <c r="AR43" s="26"/>
      <c r="AS43" s="12"/>
      <c r="AT43" s="27"/>
      <c r="AU43" s="41"/>
      <c r="AV43" s="13"/>
      <c r="AW43" s="10"/>
      <c r="AX43" s="27"/>
      <c r="AY43" s="41"/>
      <c r="AZ43" s="61"/>
      <c r="BA43" s="3"/>
      <c r="BB43" s="16"/>
      <c r="BC43" s="61"/>
      <c r="BD43" s="3"/>
      <c r="BE43" s="3"/>
      <c r="BF43" s="3"/>
      <c r="BG43" s="198"/>
      <c r="BH43" s="206"/>
    </row>
    <row r="44" spans="1:60" s="144" customFormat="1" x14ac:dyDescent="0.3">
      <c r="A44">
        <f t="shared" si="20"/>
        <v>37</v>
      </c>
      <c r="B44" s="179" t="s">
        <v>153</v>
      </c>
      <c r="C44" s="180" t="s">
        <v>154</v>
      </c>
      <c r="D44" s="95" t="s">
        <v>44</v>
      </c>
      <c r="E44" s="113" t="s">
        <v>61</v>
      </c>
      <c r="F44" s="131">
        <v>45593</v>
      </c>
      <c r="G44" s="174" t="s">
        <v>74</v>
      </c>
      <c r="H44" s="32" t="s">
        <v>47</v>
      </c>
      <c r="I44" s="73" t="s">
        <v>55</v>
      </c>
      <c r="J44" s="88">
        <v>45831</v>
      </c>
      <c r="K44" s="330">
        <v>45610</v>
      </c>
      <c r="L44" s="75"/>
      <c r="M44" s="76">
        <v>47070</v>
      </c>
      <c r="N44" s="27">
        <f t="shared" si="71"/>
        <v>46978</v>
      </c>
      <c r="O44" s="72">
        <v>45617</v>
      </c>
      <c r="P44" s="74">
        <v>45604</v>
      </c>
      <c r="Q44" s="147"/>
      <c r="R44" s="27">
        <f t="shared" ref="R44" si="74">DATE(YEAR(P44)+5,MONTH(P44),DAY(P44)-1)</f>
        <v>47429</v>
      </c>
      <c r="S44" s="27">
        <f t="shared" ref="S44" si="75">DATE(YEAR(R44),MONTH(R44)-3,DAY(R44))</f>
        <v>47337</v>
      </c>
      <c r="T44" s="66">
        <v>45596</v>
      </c>
      <c r="U44" s="148"/>
      <c r="V44" s="9">
        <v>46052</v>
      </c>
      <c r="W44" s="137">
        <v>47147</v>
      </c>
      <c r="X44" s="41">
        <f t="shared" ref="X44" si="76">DATE(YEAR(W44),MONTH(W44)-3,DAY(W44))</f>
        <v>47055</v>
      </c>
      <c r="Y44" s="178">
        <v>45595</v>
      </c>
      <c r="Z44" s="89">
        <v>45595</v>
      </c>
      <c r="AA44" s="154"/>
      <c r="AB44" s="27">
        <f t="shared" ref="AB44" si="77">DATE(YEAR(Y44)+5,MONTH(Y44),DAY(Y44)-1)</f>
        <v>47420</v>
      </c>
      <c r="AC44" s="27">
        <f t="shared" ref="AC44" si="78">DATE(YEAR(AB44),MONTH(AB44)-3,DAY(AB44))</f>
        <v>47328</v>
      </c>
      <c r="AD44" s="66">
        <v>45616</v>
      </c>
      <c r="AE44" s="155"/>
      <c r="AF44" s="42">
        <f t="shared" ref="AF44" si="79">DATE(YEAR(AD44)+10,MONTH(AD44),DAY(AD44)-1)</f>
        <v>49267</v>
      </c>
      <c r="AG44" s="27">
        <f t="shared" ref="AG44" si="80">DATE(YEAR(AF44),MONTH(AF44)-3,DAY(AF44))</f>
        <v>49175</v>
      </c>
      <c r="AH44" s="157"/>
      <c r="AI44" s="155"/>
      <c r="AJ44" s="149"/>
      <c r="AK44" s="146"/>
      <c r="AL44" s="157"/>
      <c r="AM44" s="155"/>
      <c r="AN44" s="149"/>
      <c r="AO44" s="156"/>
      <c r="AP44" s="158"/>
      <c r="AQ44" s="158"/>
      <c r="AR44" s="26"/>
      <c r="AS44" s="12"/>
      <c r="AT44" s="27"/>
      <c r="AU44" s="41"/>
      <c r="AV44" s="158"/>
      <c r="AW44" s="159"/>
      <c r="AX44" s="145"/>
      <c r="AY44" s="153"/>
      <c r="AZ44" s="147"/>
      <c r="BA44" s="217"/>
      <c r="BB44" s="286"/>
      <c r="BC44" s="147"/>
      <c r="BD44" s="217"/>
      <c r="BE44" s="217"/>
      <c r="BF44" s="217"/>
      <c r="BG44" s="201"/>
      <c r="BH44" s="258"/>
    </row>
    <row r="45" spans="1:60" x14ac:dyDescent="0.3">
      <c r="A45">
        <f t="shared" si="20"/>
        <v>38</v>
      </c>
      <c r="B45" s="19" t="s">
        <v>155</v>
      </c>
      <c r="C45" s="8" t="s">
        <v>156</v>
      </c>
      <c r="D45" s="8" t="s">
        <v>93</v>
      </c>
      <c r="E45" s="111" t="s">
        <v>94</v>
      </c>
      <c r="F45" s="40">
        <v>45166</v>
      </c>
      <c r="G45" s="34" t="s">
        <v>95</v>
      </c>
      <c r="H45" s="35" t="s">
        <v>70</v>
      </c>
      <c r="I45" s="36" t="s">
        <v>63</v>
      </c>
      <c r="J45" s="322">
        <v>46051</v>
      </c>
      <c r="K45" s="79">
        <v>44631</v>
      </c>
      <c r="L45" s="44">
        <v>45741</v>
      </c>
      <c r="M45" s="9">
        <v>46836</v>
      </c>
      <c r="N45" s="27">
        <f t="shared" si="71"/>
        <v>46745</v>
      </c>
      <c r="O45" s="65">
        <v>45621</v>
      </c>
      <c r="P45" s="26">
        <v>45330</v>
      </c>
      <c r="Q45" s="7"/>
      <c r="R45" s="27">
        <f t="shared" si="21"/>
        <v>47156</v>
      </c>
      <c r="S45" s="27">
        <f t="shared" si="64"/>
        <v>47064</v>
      </c>
      <c r="T45" s="26">
        <v>45314</v>
      </c>
      <c r="U45" s="7"/>
      <c r="V45" s="9">
        <v>45735</v>
      </c>
      <c r="W45" s="9">
        <v>46830</v>
      </c>
      <c r="X45" s="41">
        <f t="shared" si="65"/>
        <v>46739</v>
      </c>
      <c r="Y45" s="12"/>
      <c r="Z45" s="9">
        <v>44869</v>
      </c>
      <c r="AA45" s="7"/>
      <c r="AB45" s="27">
        <f>DATE(YEAR(Z45)+5,MONTH(Z45),DAY(Z45)-1)</f>
        <v>46694</v>
      </c>
      <c r="AC45" s="27">
        <f t="shared" si="72"/>
        <v>46602</v>
      </c>
      <c r="AD45" s="26">
        <v>45646</v>
      </c>
      <c r="AE45" s="11"/>
      <c r="AF45" s="42">
        <f t="shared" ref="AF45" si="81">DATE(YEAR(AD45)+10,MONTH(AD45),DAY(AD45)-1)</f>
        <v>49297</v>
      </c>
      <c r="AG45" s="27">
        <f t="shared" ref="AG45" si="82">DATE(YEAR(AF45),MONTH(AF45)-3,DAY(AF45))</f>
        <v>49206</v>
      </c>
      <c r="AH45" s="17"/>
      <c r="AI45" s="11"/>
      <c r="AJ45" s="7"/>
      <c r="AK45" s="27"/>
      <c r="AL45" s="17"/>
      <c r="AM45" s="11"/>
      <c r="AN45" s="7"/>
      <c r="AO45" s="42"/>
      <c r="AP45" s="17"/>
      <c r="AQ45" s="17"/>
      <c r="AR45" s="26">
        <v>46052</v>
      </c>
      <c r="AS45" s="12"/>
      <c r="AT45" s="27">
        <v>46416</v>
      </c>
      <c r="AU45" s="41">
        <v>46324</v>
      </c>
      <c r="AV45" s="26">
        <v>45688</v>
      </c>
      <c r="AW45" s="11"/>
      <c r="AX45" s="9">
        <v>46418</v>
      </c>
      <c r="AY45" s="16">
        <v>46356</v>
      </c>
      <c r="AZ45" s="61"/>
      <c r="BA45" s="3"/>
      <c r="BB45" s="16"/>
      <c r="BC45" s="61"/>
      <c r="BD45" s="3"/>
      <c r="BE45" s="3"/>
      <c r="BF45" s="3"/>
      <c r="BG45" s="198"/>
      <c r="BH45" s="206"/>
    </row>
    <row r="46" spans="1:60" x14ac:dyDescent="0.3">
      <c r="A46">
        <f t="shared" si="20"/>
        <v>39</v>
      </c>
      <c r="B46" s="19" t="s">
        <v>157</v>
      </c>
      <c r="C46" s="8" t="s">
        <v>158</v>
      </c>
      <c r="D46" s="20" t="s">
        <v>44</v>
      </c>
      <c r="E46" s="109" t="s">
        <v>87</v>
      </c>
      <c r="F46" s="40">
        <v>44949</v>
      </c>
      <c r="G46" s="34" t="s">
        <v>47</v>
      </c>
      <c r="H46" s="35" t="s">
        <v>58</v>
      </c>
      <c r="I46" s="36" t="s">
        <v>48</v>
      </c>
      <c r="J46" s="322">
        <v>46041</v>
      </c>
      <c r="K46" s="3">
        <v>45021</v>
      </c>
      <c r="L46" s="15">
        <v>46084</v>
      </c>
      <c r="M46" s="3">
        <v>47179</v>
      </c>
      <c r="N46" s="27">
        <f t="shared" si="71"/>
        <v>47089</v>
      </c>
      <c r="O46" s="65">
        <v>45475</v>
      </c>
      <c r="P46" s="15">
        <v>44981</v>
      </c>
      <c r="Q46" s="3"/>
      <c r="R46" s="27">
        <f t="shared" si="21"/>
        <v>46806</v>
      </c>
      <c r="S46" s="27">
        <f t="shared" si="64"/>
        <v>46714</v>
      </c>
      <c r="T46" s="26">
        <v>45016</v>
      </c>
      <c r="U46" s="7"/>
      <c r="V46" s="89">
        <v>45405</v>
      </c>
      <c r="W46" s="89">
        <v>46499</v>
      </c>
      <c r="X46" s="41">
        <f t="shared" si="65"/>
        <v>46409</v>
      </c>
      <c r="Y46" s="11"/>
      <c r="Z46" s="7"/>
      <c r="AA46" s="7"/>
      <c r="AB46" s="27"/>
      <c r="AC46" s="27"/>
      <c r="AD46" s="17"/>
      <c r="AE46" s="11"/>
      <c r="AF46" s="42"/>
      <c r="AG46" s="27"/>
      <c r="AH46" s="26">
        <v>44645</v>
      </c>
      <c r="AI46" s="11"/>
      <c r="AJ46" s="27">
        <f t="shared" ref="AJ46" si="83">DATE(YEAR(AH46)+5,MONTH(AH46),DAY(AH46)-1)</f>
        <v>46470</v>
      </c>
      <c r="AK46" s="27">
        <f t="shared" ref="AK46" si="84">DATE(YEAR(AJ46),MONTH(AJ46)-3,DAY(AJ46))</f>
        <v>46380</v>
      </c>
      <c r="AL46" s="17"/>
      <c r="AM46" s="11"/>
      <c r="AN46" s="7"/>
      <c r="AO46" s="42"/>
      <c r="AP46" s="17"/>
      <c r="AQ46" s="17"/>
      <c r="AR46" s="240">
        <v>46115</v>
      </c>
      <c r="AS46" s="241"/>
      <c r="AT46" s="242">
        <v>46479</v>
      </c>
      <c r="AU46" s="243">
        <v>46389</v>
      </c>
      <c r="AV46" s="13">
        <v>45674</v>
      </c>
      <c r="AW46" s="10"/>
      <c r="AX46" s="42">
        <v>46404</v>
      </c>
      <c r="AY46" s="41">
        <v>46312</v>
      </c>
      <c r="AZ46" s="61"/>
      <c r="BA46" s="3"/>
      <c r="BB46" s="16"/>
      <c r="BC46" s="61"/>
      <c r="BD46" s="3"/>
      <c r="BE46" s="3"/>
      <c r="BF46" s="3"/>
      <c r="BG46" s="198"/>
      <c r="BH46" s="206"/>
    </row>
    <row r="47" spans="1:60" x14ac:dyDescent="0.3">
      <c r="A47">
        <f t="shared" si="20"/>
        <v>40</v>
      </c>
      <c r="B47" s="19" t="s">
        <v>159</v>
      </c>
      <c r="C47" s="8" t="s">
        <v>160</v>
      </c>
      <c r="D47" s="20" t="s">
        <v>44</v>
      </c>
      <c r="E47" s="113" t="s">
        <v>61</v>
      </c>
      <c r="F47" s="40">
        <v>45677</v>
      </c>
      <c r="G47" s="34" t="s">
        <v>62</v>
      </c>
      <c r="H47" s="32" t="s">
        <v>47</v>
      </c>
      <c r="I47" s="36" t="s">
        <v>63</v>
      </c>
      <c r="J47" s="46">
        <v>45709</v>
      </c>
      <c r="K47" s="3">
        <v>45577</v>
      </c>
      <c r="L47" s="3"/>
      <c r="M47" s="3">
        <v>46671</v>
      </c>
      <c r="N47" s="27">
        <f t="shared" si="71"/>
        <v>46579</v>
      </c>
      <c r="O47" s="183">
        <v>45577</v>
      </c>
      <c r="P47" s="15">
        <v>45558</v>
      </c>
      <c r="Q47" s="3"/>
      <c r="R47" s="27">
        <f t="shared" ref="R47" si="85">DATE(YEAR(P47)+5,MONTH(P47),DAY(P47)-1)</f>
        <v>47383</v>
      </c>
      <c r="S47" s="27">
        <f t="shared" ref="S47" si="86">DATE(YEAR(R47),MONTH(R47)-3,DAY(R47))</f>
        <v>47291</v>
      </c>
      <c r="T47" s="26">
        <v>45583</v>
      </c>
      <c r="U47" s="7"/>
      <c r="V47" s="89">
        <v>46063</v>
      </c>
      <c r="W47" s="9">
        <v>47158</v>
      </c>
      <c r="X47" s="41">
        <f t="shared" si="65"/>
        <v>47066</v>
      </c>
      <c r="Y47" s="12">
        <v>45666</v>
      </c>
      <c r="Z47" s="9">
        <v>45666</v>
      </c>
      <c r="AA47" s="9"/>
      <c r="AB47" s="27">
        <v>47491</v>
      </c>
      <c r="AC47" s="72">
        <f>DATE(YEAR(AB47),MONTH(AB47)-3,DAY(AB47))</f>
        <v>47399</v>
      </c>
      <c r="AD47" s="26">
        <v>45632</v>
      </c>
      <c r="AE47" s="11"/>
      <c r="AF47" s="42">
        <f t="shared" ref="AF47" si="87">DATE(YEAR(AD47)+10,MONTH(AD47),DAY(AD47)-1)</f>
        <v>49283</v>
      </c>
      <c r="AG47" s="27">
        <f t="shared" ref="AG47" si="88">DATE(YEAR(AF47),MONTH(AF47)-3,DAY(AF47))</f>
        <v>49192</v>
      </c>
      <c r="AH47" s="26"/>
      <c r="AI47" s="11"/>
      <c r="AJ47" s="27"/>
      <c r="AK47" s="27"/>
      <c r="AL47" s="17"/>
      <c r="AM47" s="11"/>
      <c r="AN47" s="43"/>
      <c r="AO47" s="42"/>
      <c r="AP47" s="17"/>
      <c r="AQ47" s="17"/>
      <c r="AR47" s="26">
        <v>45582</v>
      </c>
      <c r="AS47" s="10"/>
      <c r="AT47" s="9">
        <v>45946</v>
      </c>
      <c r="AU47" s="16">
        <v>45854</v>
      </c>
      <c r="AV47" s="26">
        <v>45629</v>
      </c>
      <c r="AW47" s="11"/>
      <c r="AX47" s="27">
        <v>46359</v>
      </c>
      <c r="AY47" s="41">
        <v>46268</v>
      </c>
      <c r="AZ47" s="61"/>
      <c r="BA47" s="3"/>
      <c r="BB47" s="16"/>
      <c r="BC47" s="61"/>
      <c r="BD47" s="3"/>
      <c r="BE47" s="3"/>
      <c r="BF47" s="3"/>
      <c r="BG47" s="198"/>
      <c r="BH47" s="206"/>
    </row>
    <row r="48" spans="1:60" s="170" customFormat="1" x14ac:dyDescent="0.3">
      <c r="A48">
        <f t="shared" si="20"/>
        <v>41</v>
      </c>
      <c r="B48" s="19" t="s">
        <v>161</v>
      </c>
      <c r="C48" s="8" t="s">
        <v>162</v>
      </c>
      <c r="D48" s="20" t="s">
        <v>44</v>
      </c>
      <c r="E48" s="109" t="s">
        <v>61</v>
      </c>
      <c r="F48" s="40">
        <v>45600</v>
      </c>
      <c r="G48" s="34" t="s">
        <v>62</v>
      </c>
      <c r="H48" s="32" t="s">
        <v>47</v>
      </c>
      <c r="I48" s="36" t="s">
        <v>55</v>
      </c>
      <c r="J48" s="88">
        <v>45793</v>
      </c>
      <c r="K48" s="3">
        <v>45679</v>
      </c>
      <c r="L48" s="171"/>
      <c r="M48" s="90">
        <v>46773</v>
      </c>
      <c r="N48" s="72">
        <f t="shared" si="71"/>
        <v>46681</v>
      </c>
      <c r="O48" s="91">
        <v>45679</v>
      </c>
      <c r="P48" s="15">
        <v>45628</v>
      </c>
      <c r="Q48" s="3"/>
      <c r="R48" s="27">
        <f t="shared" ref="R48" si="89">DATE(YEAR(P48)+5,MONTH(P48),DAY(P48)-1)</f>
        <v>47453</v>
      </c>
      <c r="S48" s="27">
        <f t="shared" ref="S48" si="90">DATE(YEAR(R48),MONTH(R48)-3,DAY(R48))</f>
        <v>47362</v>
      </c>
      <c r="T48" s="26">
        <v>45608</v>
      </c>
      <c r="U48" s="7"/>
      <c r="V48" s="89">
        <v>46063</v>
      </c>
      <c r="W48" s="9">
        <v>47158</v>
      </c>
      <c r="X48" s="41">
        <f t="shared" ref="X48:X49" si="91">DATE(YEAR(W48),MONTH(W48)-3,DAY(W48))</f>
        <v>47066</v>
      </c>
      <c r="Y48" s="12"/>
      <c r="Z48" s="9">
        <v>45617</v>
      </c>
      <c r="AA48" s="7"/>
      <c r="AB48" s="27">
        <v>47442</v>
      </c>
      <c r="AC48" s="72">
        <f t="shared" ref="AC48" si="92">DATE(YEAR(AB48),MONTH(AB48)-3,DAY(AB48))</f>
        <v>47350</v>
      </c>
      <c r="AD48" s="66">
        <v>45623</v>
      </c>
      <c r="AE48" s="155"/>
      <c r="AF48" s="42">
        <f t="shared" ref="AF48" si="93">DATE(YEAR(AD48)+10,MONTH(AD48),DAY(AD48)-1)</f>
        <v>49274</v>
      </c>
      <c r="AG48" s="27">
        <f t="shared" ref="AG48" si="94">DATE(YEAR(AF48),MONTH(AF48)-3,DAY(AF48))</f>
        <v>49182</v>
      </c>
      <c r="AH48" s="150"/>
      <c r="AI48" s="161"/>
      <c r="AJ48" s="146"/>
      <c r="AK48" s="146"/>
      <c r="AL48" s="173"/>
      <c r="AM48" s="161"/>
      <c r="AN48" s="160"/>
      <c r="AO48" s="156"/>
      <c r="AP48" s="173"/>
      <c r="AQ48" s="173"/>
      <c r="AR48" s="13"/>
      <c r="AS48" s="10"/>
      <c r="AT48" s="9"/>
      <c r="AU48" s="41"/>
      <c r="AV48" s="150"/>
      <c r="AW48" s="161"/>
      <c r="AX48" s="146"/>
      <c r="AY48" s="169"/>
      <c r="AZ48" s="277"/>
      <c r="BA48" s="216"/>
      <c r="BB48" s="285"/>
      <c r="BC48" s="277"/>
      <c r="BD48" s="216"/>
      <c r="BE48" s="216"/>
      <c r="BF48" s="216"/>
      <c r="BG48" s="200"/>
      <c r="BH48" s="259"/>
    </row>
    <row r="49" spans="1:60" s="170" customFormat="1" x14ac:dyDescent="0.3">
      <c r="A49">
        <f t="shared" si="20"/>
        <v>42</v>
      </c>
      <c r="B49" s="19" t="s">
        <v>163</v>
      </c>
      <c r="C49" s="8" t="s">
        <v>164</v>
      </c>
      <c r="D49" s="20" t="s">
        <v>44</v>
      </c>
      <c r="E49" s="109" t="s">
        <v>61</v>
      </c>
      <c r="F49" s="40">
        <v>45677</v>
      </c>
      <c r="G49" s="34" t="s">
        <v>74</v>
      </c>
      <c r="H49" s="32" t="s">
        <v>47</v>
      </c>
      <c r="I49" s="36" t="s">
        <v>63</v>
      </c>
      <c r="J49" s="88">
        <v>45723</v>
      </c>
      <c r="K49" s="3">
        <v>45577</v>
      </c>
      <c r="L49" s="171"/>
      <c r="M49" s="90">
        <v>46671</v>
      </c>
      <c r="N49" s="72">
        <f t="shared" si="71"/>
        <v>46579</v>
      </c>
      <c r="O49" s="182">
        <v>45577</v>
      </c>
      <c r="P49" s="15">
        <v>45719</v>
      </c>
      <c r="Q49" s="3"/>
      <c r="R49" s="27">
        <f t="shared" ref="R49" si="95">DATE(YEAR(P49)+5,MONTH(P49),DAY(P49)-1)</f>
        <v>47544</v>
      </c>
      <c r="S49" s="27">
        <f t="shared" ref="S49" si="96">DATE(YEAR(R49),MONTH(R49)-3,DAY(R49))</f>
        <v>47454</v>
      </c>
      <c r="T49" s="26">
        <v>45583</v>
      </c>
      <c r="U49" s="7"/>
      <c r="V49" s="9">
        <v>46052</v>
      </c>
      <c r="W49" s="137">
        <v>47147</v>
      </c>
      <c r="X49" s="41">
        <f t="shared" si="91"/>
        <v>47055</v>
      </c>
      <c r="Y49" s="12">
        <v>45666</v>
      </c>
      <c r="Z49" s="9">
        <v>45666</v>
      </c>
      <c r="AA49" s="9"/>
      <c r="AB49" s="27">
        <v>47494</v>
      </c>
      <c r="AC49" s="72">
        <f>DATE(YEAR(AB49),MONTH(AB49)-3,DAY(AB49))</f>
        <v>47402</v>
      </c>
      <c r="AD49" s="66">
        <v>45625</v>
      </c>
      <c r="AE49" s="155"/>
      <c r="AF49" s="42">
        <f t="shared" ref="AF49" si="97">DATE(YEAR(AD49)+10,MONTH(AD49),DAY(AD49)-1)</f>
        <v>49276</v>
      </c>
      <c r="AG49" s="27">
        <f t="shared" ref="AG49" si="98">DATE(YEAR(AF49),MONTH(AF49)-3,DAY(AF49))</f>
        <v>49184</v>
      </c>
      <c r="AH49" s="150"/>
      <c r="AI49" s="161"/>
      <c r="AJ49" s="146"/>
      <c r="AK49" s="146"/>
      <c r="AL49" s="173"/>
      <c r="AM49" s="161"/>
      <c r="AN49" s="160"/>
      <c r="AO49" s="156"/>
      <c r="AP49" s="173"/>
      <c r="AQ49" s="173"/>
      <c r="AR49" s="26">
        <v>45582</v>
      </c>
      <c r="AS49" s="11"/>
      <c r="AT49" s="9">
        <v>45946</v>
      </c>
      <c r="AU49" s="16">
        <v>45854</v>
      </c>
      <c r="AV49" s="66">
        <v>45622</v>
      </c>
      <c r="AW49" s="83"/>
      <c r="AX49" s="72">
        <v>46352</v>
      </c>
      <c r="AY49" s="94">
        <v>46260</v>
      </c>
      <c r="AZ49" s="266"/>
      <c r="BA49" s="76"/>
      <c r="BB49" s="275"/>
      <c r="BC49" s="266"/>
      <c r="BD49" s="76"/>
      <c r="BE49" s="76"/>
      <c r="BF49" s="76"/>
      <c r="BG49" s="199"/>
      <c r="BH49" s="259"/>
    </row>
    <row r="50" spans="1:60" x14ac:dyDescent="0.3">
      <c r="A50">
        <f t="shared" si="20"/>
        <v>43</v>
      </c>
      <c r="B50" s="19" t="s">
        <v>165</v>
      </c>
      <c r="C50" s="8" t="s">
        <v>166</v>
      </c>
      <c r="D50" s="8" t="s">
        <v>93</v>
      </c>
      <c r="E50" s="111" t="s">
        <v>167</v>
      </c>
      <c r="F50" s="40">
        <v>45166</v>
      </c>
      <c r="G50" s="34" t="s">
        <v>131</v>
      </c>
      <c r="H50" s="35" t="s">
        <v>70</v>
      </c>
      <c r="I50" s="36" t="s">
        <v>63</v>
      </c>
      <c r="J50" s="46">
        <v>45181</v>
      </c>
      <c r="K50" s="3">
        <v>45677</v>
      </c>
      <c r="L50" s="5"/>
      <c r="M50" s="3">
        <v>46406</v>
      </c>
      <c r="N50" s="138">
        <f t="shared" si="71"/>
        <v>46314</v>
      </c>
      <c r="O50" s="25"/>
      <c r="P50" s="14"/>
      <c r="Q50" s="5"/>
      <c r="R50" s="27"/>
      <c r="S50" s="25"/>
      <c r="T50" s="17"/>
      <c r="U50" s="7"/>
      <c r="V50" s="7"/>
      <c r="W50" s="7"/>
      <c r="X50" s="41"/>
      <c r="Y50" s="11"/>
      <c r="Z50" s="7"/>
      <c r="AA50" s="7"/>
      <c r="AB50" s="27"/>
      <c r="AC50" s="25"/>
      <c r="AD50" s="17"/>
      <c r="AE50" s="11"/>
      <c r="AF50" s="42"/>
      <c r="AG50" s="56"/>
      <c r="AH50" s="17"/>
      <c r="AI50" s="11"/>
      <c r="AJ50" s="27"/>
      <c r="AK50" s="27"/>
      <c r="AL50" s="26">
        <v>45315</v>
      </c>
      <c r="AM50" s="11"/>
      <c r="AN50" s="27">
        <f>DATE(YEAR(AL50)+5,MONTH(AL50),DAY(AL50)-1)</f>
        <v>47141</v>
      </c>
      <c r="AO50" s="42">
        <f t="shared" ref="AO50" si="99">DATE(YEAR(AN50),MONTH(AN50)-3,DAY(AN50))</f>
        <v>47049</v>
      </c>
      <c r="AP50" s="26"/>
      <c r="AQ50" s="26"/>
      <c r="AR50" s="26"/>
      <c r="AS50" s="12"/>
      <c r="AT50" s="9"/>
      <c r="AU50" s="41"/>
      <c r="AV50" s="17"/>
      <c r="AW50" s="11"/>
      <c r="AX50" s="25"/>
      <c r="AY50" s="16"/>
      <c r="AZ50" s="61"/>
      <c r="BA50" s="3"/>
      <c r="BB50" s="16"/>
      <c r="BC50" s="61"/>
      <c r="BD50" s="3"/>
      <c r="BE50" s="3"/>
      <c r="BF50" s="3"/>
      <c r="BG50" s="198"/>
      <c r="BH50" s="206"/>
    </row>
    <row r="51" spans="1:60" x14ac:dyDescent="0.3">
      <c r="A51">
        <f t="shared" si="20"/>
        <v>44</v>
      </c>
      <c r="B51" s="19" t="s">
        <v>168</v>
      </c>
      <c r="C51" s="8" t="s">
        <v>169</v>
      </c>
      <c r="D51" s="8" t="s">
        <v>93</v>
      </c>
      <c r="E51" s="111" t="s">
        <v>94</v>
      </c>
      <c r="F51" s="40">
        <v>44837</v>
      </c>
      <c r="G51" s="34" t="s">
        <v>95</v>
      </c>
      <c r="H51" s="35" t="s">
        <v>70</v>
      </c>
      <c r="I51" s="36" t="s">
        <v>48</v>
      </c>
      <c r="J51" s="46">
        <v>45579</v>
      </c>
      <c r="K51" s="3">
        <v>44903</v>
      </c>
      <c r="L51" s="15">
        <v>45993</v>
      </c>
      <c r="M51" s="3">
        <v>47088</v>
      </c>
      <c r="N51" s="27">
        <f t="shared" ref="N51:N67" si="100">DATE(YEAR(M51),MONTH(M51)-3,DAY(M51))</f>
        <v>46997</v>
      </c>
      <c r="O51" s="223">
        <v>45994</v>
      </c>
      <c r="P51" s="15">
        <v>44949</v>
      </c>
      <c r="Q51" s="3"/>
      <c r="R51" s="27">
        <f t="shared" si="21"/>
        <v>46774</v>
      </c>
      <c r="S51" s="27">
        <f t="shared" ref="S51:S55" si="101">DATE(YEAR(R51),MONTH(R51)-3,DAY(R51))</f>
        <v>46682</v>
      </c>
      <c r="T51" s="26">
        <v>44914</v>
      </c>
      <c r="U51" s="7"/>
      <c r="V51" s="9">
        <v>45735</v>
      </c>
      <c r="W51" s="9">
        <v>46830</v>
      </c>
      <c r="X51" s="41">
        <f t="shared" si="65"/>
        <v>46739</v>
      </c>
      <c r="Y51" s="12"/>
      <c r="Z51" s="9">
        <v>44937</v>
      </c>
      <c r="AA51" s="7"/>
      <c r="AB51" s="27">
        <f>DATE(YEAR(Z51)+5,MONTH(Z51),DAY(Z51)-1)</f>
        <v>46762</v>
      </c>
      <c r="AC51" s="27">
        <f t="shared" ref="AC51:AC52" si="102">DATE(YEAR(AB51),MONTH(AB51)-3,DAY(AB51))</f>
        <v>46670</v>
      </c>
      <c r="AD51" s="26">
        <v>44911</v>
      </c>
      <c r="AE51" s="12"/>
      <c r="AF51" s="42">
        <f t="shared" si="34"/>
        <v>48563</v>
      </c>
      <c r="AG51" s="27">
        <f t="shared" ref="AG51:AG52" si="103">DATE(YEAR(AF51),MONTH(AF51)-3,DAY(AF51))</f>
        <v>48472</v>
      </c>
      <c r="AH51" s="26"/>
      <c r="AI51" s="12"/>
      <c r="AJ51" s="27"/>
      <c r="AK51" s="27"/>
      <c r="AL51" s="26"/>
      <c r="AM51" s="12"/>
      <c r="AN51" s="9"/>
      <c r="AO51" s="42"/>
      <c r="AP51" s="26"/>
      <c r="AQ51" s="26"/>
      <c r="AR51" s="240">
        <v>46115</v>
      </c>
      <c r="AS51" s="241"/>
      <c r="AT51" s="242">
        <v>46479</v>
      </c>
      <c r="AU51" s="243">
        <v>46389</v>
      </c>
      <c r="AV51" s="13">
        <v>45674</v>
      </c>
      <c r="AW51" s="10"/>
      <c r="AX51" s="42">
        <v>46404</v>
      </c>
      <c r="AY51" s="41">
        <v>46312</v>
      </c>
      <c r="AZ51" s="61"/>
      <c r="BA51" s="3"/>
      <c r="BB51" s="16"/>
      <c r="BC51" s="61"/>
      <c r="BD51" s="3"/>
      <c r="BE51" s="3"/>
      <c r="BF51" s="3"/>
      <c r="BG51" s="198"/>
      <c r="BH51" s="206"/>
    </row>
    <row r="52" spans="1:60" x14ac:dyDescent="0.3">
      <c r="A52">
        <f t="shared" si="20"/>
        <v>45</v>
      </c>
      <c r="B52" s="19" t="s">
        <v>170</v>
      </c>
      <c r="C52" s="8" t="s">
        <v>171</v>
      </c>
      <c r="D52" s="8" t="s">
        <v>93</v>
      </c>
      <c r="E52" s="111" t="s">
        <v>94</v>
      </c>
      <c r="F52" s="40">
        <v>44321</v>
      </c>
      <c r="G52" s="34" t="s">
        <v>95</v>
      </c>
      <c r="H52" s="35" t="s">
        <v>70</v>
      </c>
      <c r="I52" s="36" t="s">
        <v>48</v>
      </c>
      <c r="J52" s="46">
        <v>45992</v>
      </c>
      <c r="K52" s="2">
        <v>44372</v>
      </c>
      <c r="L52" s="4">
        <v>45440</v>
      </c>
      <c r="M52" s="4">
        <v>46534</v>
      </c>
      <c r="N52" s="27">
        <f t="shared" si="100"/>
        <v>46445</v>
      </c>
      <c r="O52" s="65">
        <v>45441</v>
      </c>
      <c r="P52" s="15">
        <v>44372</v>
      </c>
      <c r="Q52" s="239" t="s">
        <v>172</v>
      </c>
      <c r="R52" s="27">
        <f t="shared" si="21"/>
        <v>46197</v>
      </c>
      <c r="S52" s="27">
        <f t="shared" si="101"/>
        <v>46105</v>
      </c>
      <c r="T52" s="26">
        <v>44439</v>
      </c>
      <c r="U52" s="9">
        <v>44439</v>
      </c>
      <c r="V52" s="27">
        <v>46122</v>
      </c>
      <c r="W52" s="27">
        <v>47217</v>
      </c>
      <c r="X52" s="41">
        <f t="shared" ref="X52" si="104">DATE(YEAR(W52),MONTH(W52)-3,DAY(W52))</f>
        <v>47127</v>
      </c>
      <c r="Y52" s="273"/>
      <c r="Z52" s="2">
        <v>44565</v>
      </c>
      <c r="AA52" s="2"/>
      <c r="AB52" s="27">
        <f>DATE(YEAR(Z52)+5,MONTH(Z52),DAY(Z52)-1)</f>
        <v>46390</v>
      </c>
      <c r="AC52" s="27">
        <f t="shared" si="102"/>
        <v>46298</v>
      </c>
      <c r="AD52" s="13">
        <v>44615</v>
      </c>
      <c r="AE52" s="10"/>
      <c r="AF52" s="42">
        <f t="shared" si="34"/>
        <v>48266</v>
      </c>
      <c r="AG52" s="27">
        <f t="shared" si="103"/>
        <v>48174</v>
      </c>
      <c r="AH52" s="13"/>
      <c r="AI52" s="10"/>
      <c r="AJ52" s="27"/>
      <c r="AK52" s="27"/>
      <c r="AL52" s="13"/>
      <c r="AM52" s="10"/>
      <c r="AN52" s="2"/>
      <c r="AO52" s="42"/>
      <c r="AP52" s="13"/>
      <c r="AQ52" s="13"/>
      <c r="AR52" s="240">
        <v>46115</v>
      </c>
      <c r="AS52" s="241"/>
      <c r="AT52" s="242">
        <v>46479</v>
      </c>
      <c r="AU52" s="243">
        <v>46389</v>
      </c>
      <c r="AV52" s="13"/>
      <c r="AW52" s="10"/>
      <c r="AX52" s="27"/>
      <c r="AY52" s="41"/>
      <c r="AZ52" s="61"/>
      <c r="BA52" s="3"/>
      <c r="BB52" s="16"/>
      <c r="BC52" s="61"/>
      <c r="BD52" s="3"/>
      <c r="BE52" s="3"/>
      <c r="BF52" s="3"/>
      <c r="BG52" s="198"/>
      <c r="BH52" s="206"/>
    </row>
    <row r="53" spans="1:60" x14ac:dyDescent="0.3">
      <c r="A53">
        <f t="shared" si="20"/>
        <v>46</v>
      </c>
      <c r="B53" s="19" t="s">
        <v>173</v>
      </c>
      <c r="C53" s="8" t="s">
        <v>174</v>
      </c>
      <c r="D53" s="67" t="s">
        <v>68</v>
      </c>
      <c r="E53" s="112" t="s">
        <v>175</v>
      </c>
      <c r="F53" s="40">
        <v>46055</v>
      </c>
      <c r="G53" s="34" t="s">
        <v>176</v>
      </c>
      <c r="H53" s="35" t="s">
        <v>70</v>
      </c>
      <c r="I53" s="36" t="s">
        <v>63</v>
      </c>
      <c r="J53" s="46">
        <v>46097</v>
      </c>
      <c r="K53" s="27">
        <v>46098</v>
      </c>
      <c r="L53" s="229"/>
      <c r="M53" s="229"/>
      <c r="N53" s="60"/>
      <c r="O53" s="65">
        <v>46104</v>
      </c>
      <c r="P53" s="15">
        <v>46146</v>
      </c>
      <c r="Q53" s="230"/>
      <c r="R53" s="27">
        <f t="shared" si="21"/>
        <v>47971</v>
      </c>
      <c r="S53" s="27">
        <f t="shared" si="101"/>
        <v>47882</v>
      </c>
      <c r="T53" s="235"/>
      <c r="U53" s="194"/>
      <c r="V53" s="194"/>
      <c r="W53" s="232"/>
      <c r="X53" s="236"/>
      <c r="Y53" s="274"/>
      <c r="Z53" s="233"/>
      <c r="AA53" s="233"/>
      <c r="AB53" s="60"/>
      <c r="AC53" s="60"/>
      <c r="AD53" s="228"/>
      <c r="AE53" s="234"/>
      <c r="AF53" s="220"/>
      <c r="AG53" s="60"/>
      <c r="AH53" s="228"/>
      <c r="AI53" s="234"/>
      <c r="AJ53" s="60"/>
      <c r="AK53" s="60"/>
      <c r="AL53" s="228"/>
      <c r="AM53" s="234"/>
      <c r="AN53" s="233"/>
      <c r="AO53" s="220"/>
      <c r="AP53" s="228"/>
      <c r="AQ53" s="228"/>
      <c r="AR53" s="235"/>
      <c r="AS53" s="231"/>
      <c r="AT53" s="194"/>
      <c r="AU53" s="236"/>
      <c r="AV53" s="228"/>
      <c r="AW53" s="234"/>
      <c r="AX53" s="60"/>
      <c r="AY53" s="236"/>
      <c r="AZ53" s="278"/>
      <c r="BA53" s="230"/>
      <c r="BB53" s="281"/>
      <c r="BC53" s="278"/>
      <c r="BD53" s="230"/>
      <c r="BE53" s="230"/>
      <c r="BF53" s="230"/>
      <c r="BG53" s="198"/>
      <c r="BH53" s="206"/>
    </row>
    <row r="54" spans="1:60" x14ac:dyDescent="0.3">
      <c r="A54">
        <f t="shared" si="20"/>
        <v>47</v>
      </c>
      <c r="B54" s="19" t="s">
        <v>177</v>
      </c>
      <c r="C54" s="8" t="s">
        <v>156</v>
      </c>
      <c r="D54" s="67" t="s">
        <v>44</v>
      </c>
      <c r="E54" s="112" t="s">
        <v>87</v>
      </c>
      <c r="F54" s="40">
        <v>45544</v>
      </c>
      <c r="G54" s="34" t="s">
        <v>178</v>
      </c>
      <c r="H54" s="35" t="s">
        <v>47</v>
      </c>
      <c r="I54" s="36" t="s">
        <v>48</v>
      </c>
      <c r="J54" s="46">
        <v>45600</v>
      </c>
      <c r="K54" s="2">
        <v>45581</v>
      </c>
      <c r="L54" s="4"/>
      <c r="M54" s="4">
        <v>46675</v>
      </c>
      <c r="N54" s="27">
        <f t="shared" si="100"/>
        <v>46583</v>
      </c>
      <c r="O54" s="65">
        <v>45581</v>
      </c>
      <c r="P54" s="15">
        <v>45553</v>
      </c>
      <c r="Q54" s="3"/>
      <c r="R54" s="27">
        <f t="shared" ref="R54" si="105">DATE(YEAR(P54)+5,MONTH(P54),DAY(P54)-1)</f>
        <v>47378</v>
      </c>
      <c r="S54" s="27">
        <f t="shared" ref="S54" si="106">DATE(YEAR(R54),MONTH(R54)-3,DAY(R54))</f>
        <v>47286</v>
      </c>
      <c r="T54" s="128">
        <v>45548</v>
      </c>
      <c r="U54" s="9"/>
      <c r="V54" s="9"/>
      <c r="W54" s="194">
        <v>46642</v>
      </c>
      <c r="X54" s="41">
        <f t="shared" ref="X54" si="107">DATE(YEAR(W54),MONTH(W54)-3,DAY(W54))</f>
        <v>46550</v>
      </c>
      <c r="Y54" s="56"/>
      <c r="Z54" s="3"/>
      <c r="AA54" s="2"/>
      <c r="AB54" s="27"/>
      <c r="AC54" s="27"/>
      <c r="AD54" s="13"/>
      <c r="AE54" s="10"/>
      <c r="AF54" s="42"/>
      <c r="AG54" s="27"/>
      <c r="AH54" s="13"/>
      <c r="AI54" s="10"/>
      <c r="AJ54" s="27"/>
      <c r="AK54" s="27"/>
      <c r="AL54" s="13"/>
      <c r="AM54" s="10"/>
      <c r="AN54" s="2"/>
      <c r="AO54" s="42"/>
      <c r="AP54" s="13"/>
      <c r="AQ54" s="13"/>
      <c r="AR54" s="240">
        <v>46115</v>
      </c>
      <c r="AS54" s="241"/>
      <c r="AT54" s="242">
        <v>46479</v>
      </c>
      <c r="AU54" s="243">
        <v>46389</v>
      </c>
      <c r="AV54" s="13">
        <v>45674</v>
      </c>
      <c r="AW54" s="10"/>
      <c r="AX54" s="3">
        <v>46404</v>
      </c>
      <c r="AY54" s="16">
        <v>46312</v>
      </c>
      <c r="AZ54" s="61"/>
      <c r="BA54" s="3"/>
      <c r="BB54" s="16"/>
      <c r="BC54" s="61"/>
      <c r="BD54" s="3"/>
      <c r="BE54" s="3"/>
      <c r="BF54" s="3"/>
      <c r="BG54" s="198"/>
      <c r="BH54" s="206"/>
    </row>
    <row r="55" spans="1:60" x14ac:dyDescent="0.3">
      <c r="A55">
        <f t="shared" si="20"/>
        <v>48</v>
      </c>
      <c r="B55" s="19" t="s">
        <v>179</v>
      </c>
      <c r="C55" s="8" t="s">
        <v>180</v>
      </c>
      <c r="D55" s="20" t="s">
        <v>44</v>
      </c>
      <c r="E55" s="109" t="s">
        <v>61</v>
      </c>
      <c r="F55" s="40">
        <v>45222</v>
      </c>
      <c r="G55" s="34" t="s">
        <v>181</v>
      </c>
      <c r="H55" s="35" t="s">
        <v>178</v>
      </c>
      <c r="I55" s="36" t="s">
        <v>48</v>
      </c>
      <c r="J55" s="46">
        <v>45950</v>
      </c>
      <c r="K55" s="3">
        <v>45203</v>
      </c>
      <c r="L55" s="5"/>
      <c r="M55" s="3">
        <v>46298</v>
      </c>
      <c r="N55" s="27">
        <f t="shared" si="100"/>
        <v>46206</v>
      </c>
      <c r="O55" s="65">
        <v>45475</v>
      </c>
      <c r="P55" s="15">
        <v>45205</v>
      </c>
      <c r="Q55" s="3"/>
      <c r="R55" s="27">
        <f t="shared" si="21"/>
        <v>47031</v>
      </c>
      <c r="S55" s="27">
        <f t="shared" si="101"/>
        <v>46939</v>
      </c>
      <c r="T55" s="13">
        <v>45208</v>
      </c>
      <c r="U55" s="2"/>
      <c r="V55" s="89">
        <v>46085</v>
      </c>
      <c r="W55" s="2">
        <v>47180</v>
      </c>
      <c r="X55" s="41">
        <f t="shared" ref="X55" si="108">DATE(YEAR(W55),MONTH(W55)-3,DAY(W55))</f>
        <v>47090</v>
      </c>
      <c r="Y55" s="273"/>
      <c r="Z55" s="2">
        <v>45196</v>
      </c>
      <c r="AA55" s="2"/>
      <c r="AB55" s="27">
        <f t="shared" ref="AB55:AB58" si="109">DATE(YEAR(Z55)+5,MONTH(Z55),DAY(Z55)-1)</f>
        <v>47022</v>
      </c>
      <c r="AC55" s="27">
        <f t="shared" ref="AC55" si="110">DATE(YEAR(AB55),MONTH(AB55)-3,DAY(AB55))</f>
        <v>46930</v>
      </c>
      <c r="AD55" s="13">
        <v>45189</v>
      </c>
      <c r="AE55" s="10"/>
      <c r="AF55" s="42">
        <f t="shared" si="34"/>
        <v>48841</v>
      </c>
      <c r="AG55" s="27">
        <f t="shared" ref="AG55" si="111">DATE(YEAR(AF55),MONTH(AF55)-3,DAY(AF55))</f>
        <v>48749</v>
      </c>
      <c r="AH55" s="13"/>
      <c r="AI55" s="10"/>
      <c r="AJ55" s="27"/>
      <c r="AK55" s="27"/>
      <c r="AL55" s="13"/>
      <c r="AM55" s="10"/>
      <c r="AN55" s="2"/>
      <c r="AO55" s="3"/>
      <c r="AP55" s="13">
        <v>45874</v>
      </c>
      <c r="AQ55" s="13"/>
      <c r="AR55" s="240">
        <v>46115</v>
      </c>
      <c r="AS55" s="241"/>
      <c r="AT55" s="242">
        <v>46479</v>
      </c>
      <c r="AU55" s="243">
        <v>46389</v>
      </c>
      <c r="AV55" s="13">
        <v>45674</v>
      </c>
      <c r="AW55" s="10"/>
      <c r="AX55" s="42">
        <v>46404</v>
      </c>
      <c r="AY55" s="41">
        <v>46312</v>
      </c>
      <c r="AZ55" s="61"/>
      <c r="BA55" s="3"/>
      <c r="BB55" s="16"/>
      <c r="BC55" s="61"/>
      <c r="BD55" s="3"/>
      <c r="BE55" s="3"/>
      <c r="BF55" s="3"/>
      <c r="BG55" s="198"/>
      <c r="BH55" s="206"/>
    </row>
    <row r="56" spans="1:60" x14ac:dyDescent="0.3">
      <c r="A56">
        <f t="shared" si="20"/>
        <v>49</v>
      </c>
      <c r="B56" s="19" t="s">
        <v>182</v>
      </c>
      <c r="C56" s="8" t="s">
        <v>183</v>
      </c>
      <c r="D56" s="20" t="s">
        <v>93</v>
      </c>
      <c r="E56" s="109" t="s">
        <v>94</v>
      </c>
      <c r="F56" s="40">
        <v>44424</v>
      </c>
      <c r="G56" s="34" t="s">
        <v>95</v>
      </c>
      <c r="H56" s="35" t="s">
        <v>70</v>
      </c>
      <c r="I56" s="36" t="s">
        <v>55</v>
      </c>
      <c r="J56" s="46">
        <v>46009</v>
      </c>
      <c r="K56" s="3">
        <v>44580</v>
      </c>
      <c r="L56" s="3">
        <v>45678</v>
      </c>
      <c r="M56" s="3">
        <v>46772</v>
      </c>
      <c r="N56" s="27">
        <f t="shared" si="100"/>
        <v>46680</v>
      </c>
      <c r="O56" s="65">
        <v>45678</v>
      </c>
      <c r="P56" s="15">
        <v>44580</v>
      </c>
      <c r="Q56" s="3"/>
      <c r="R56" s="27">
        <f t="shared" si="21"/>
        <v>46405</v>
      </c>
      <c r="S56" s="27">
        <f t="shared" ref="S56:S67" si="112">DATE(YEAR(R56),MONTH(R56)-3,DAY(R56))</f>
        <v>46313</v>
      </c>
      <c r="T56" s="26">
        <v>44439</v>
      </c>
      <c r="U56" s="9">
        <v>44439</v>
      </c>
      <c r="V56" s="9">
        <v>45735</v>
      </c>
      <c r="W56" s="194">
        <v>46830</v>
      </c>
      <c r="X56" s="41">
        <f t="shared" ref="X56:X57" si="113">DATE(YEAR(W56),MONTH(W56)-3,DAY(W56))</f>
        <v>46739</v>
      </c>
      <c r="Y56" s="273"/>
      <c r="Z56" s="2">
        <v>44572</v>
      </c>
      <c r="AA56" s="2"/>
      <c r="AB56" s="27">
        <f t="shared" si="109"/>
        <v>46397</v>
      </c>
      <c r="AC56" s="27"/>
      <c r="AD56" s="13">
        <v>44617</v>
      </c>
      <c r="AE56" s="10"/>
      <c r="AF56" s="42">
        <f t="shared" si="34"/>
        <v>48268</v>
      </c>
      <c r="AG56" s="27">
        <f t="shared" ref="AG56" si="114">DATE(YEAR(AF56),MONTH(AF56)-3,DAY(AF56))</f>
        <v>48176</v>
      </c>
      <c r="AH56" s="265" t="s">
        <v>245</v>
      </c>
      <c r="AI56" s="10"/>
      <c r="AJ56" s="27"/>
      <c r="AK56" s="27"/>
      <c r="AL56" s="13"/>
      <c r="AM56" s="10"/>
      <c r="AN56" s="2"/>
      <c r="AO56" s="42"/>
      <c r="AP56" s="13"/>
      <c r="AQ56" s="13"/>
      <c r="AR56" s="26">
        <v>46052</v>
      </c>
      <c r="AS56" s="11"/>
      <c r="AT56" s="27">
        <v>46416</v>
      </c>
      <c r="AU56" s="41">
        <v>46324</v>
      </c>
      <c r="AV56" s="13">
        <v>45674</v>
      </c>
      <c r="AW56" s="10"/>
      <c r="AX56" s="27">
        <v>46404</v>
      </c>
      <c r="AY56" s="16">
        <v>46343</v>
      </c>
      <c r="AZ56" s="61"/>
      <c r="BA56" s="3"/>
      <c r="BB56" s="16"/>
      <c r="BC56" s="61">
        <v>46013</v>
      </c>
      <c r="BD56" s="3">
        <v>46013</v>
      </c>
      <c r="BE56" s="3"/>
      <c r="BF56" s="3">
        <v>47108</v>
      </c>
      <c r="BG56" s="198"/>
      <c r="BH56" s="205"/>
    </row>
    <row r="57" spans="1:60" x14ac:dyDescent="0.3">
      <c r="A57">
        <f t="shared" si="20"/>
        <v>50</v>
      </c>
      <c r="B57" s="19" t="s">
        <v>184</v>
      </c>
      <c r="C57" s="8" t="s">
        <v>185</v>
      </c>
      <c r="D57" s="20" t="s">
        <v>44</v>
      </c>
      <c r="E57" s="109" t="s">
        <v>186</v>
      </c>
      <c r="F57" s="40">
        <v>44837</v>
      </c>
      <c r="G57" s="34" t="s">
        <v>58</v>
      </c>
      <c r="H57" s="35"/>
      <c r="I57" s="36" t="s">
        <v>48</v>
      </c>
      <c r="J57" s="46">
        <v>44879</v>
      </c>
      <c r="K57" s="3">
        <v>44903</v>
      </c>
      <c r="L57" s="15">
        <v>45964</v>
      </c>
      <c r="M57" s="3">
        <v>47059</v>
      </c>
      <c r="N57" s="27">
        <f t="shared" si="100"/>
        <v>46967</v>
      </c>
      <c r="O57" s="65"/>
      <c r="P57" s="15">
        <v>44981</v>
      </c>
      <c r="Q57" s="3"/>
      <c r="R57" s="27">
        <f t="shared" si="21"/>
        <v>46806</v>
      </c>
      <c r="S57" s="27">
        <f t="shared" si="112"/>
        <v>46714</v>
      </c>
      <c r="T57" s="13">
        <v>44914</v>
      </c>
      <c r="U57" s="77"/>
      <c r="V57" s="2">
        <v>46035</v>
      </c>
      <c r="W57" s="2">
        <v>47130</v>
      </c>
      <c r="X57" s="41">
        <f t="shared" si="113"/>
        <v>47038</v>
      </c>
      <c r="Y57" s="47"/>
      <c r="Z57" s="9"/>
      <c r="AA57" s="46"/>
      <c r="AB57" s="25"/>
      <c r="AC57" s="172"/>
      <c r="AD57" s="26"/>
      <c r="AE57" s="12"/>
      <c r="AF57" s="42"/>
      <c r="AG57" s="27"/>
      <c r="AH57" s="26"/>
      <c r="AI57" s="12"/>
      <c r="AJ57" s="27"/>
      <c r="AK57" s="42"/>
      <c r="AL57" s="26"/>
      <c r="AM57" s="12"/>
      <c r="AN57" s="9"/>
      <c r="AO57" s="3"/>
      <c r="AP57" s="26"/>
      <c r="AQ57" s="26"/>
      <c r="AR57" s="235"/>
      <c r="AS57" s="231"/>
      <c r="AT57" s="194"/>
      <c r="AU57" s="236"/>
      <c r="AV57" s="26"/>
      <c r="AW57" s="12"/>
      <c r="AX57" s="27"/>
      <c r="AY57" s="41"/>
      <c r="AZ57" s="61"/>
      <c r="BA57" s="3"/>
      <c r="BB57" s="16"/>
      <c r="BC57" s="61"/>
      <c r="BD57" s="3"/>
      <c r="BE57" s="3"/>
      <c r="BF57" s="3"/>
      <c r="BG57" s="198"/>
      <c r="BH57" s="206"/>
    </row>
    <row r="58" spans="1:60" x14ac:dyDescent="0.3">
      <c r="A58">
        <f t="shared" si="20"/>
        <v>51</v>
      </c>
      <c r="B58" s="19" t="s">
        <v>187</v>
      </c>
      <c r="C58" s="8" t="s">
        <v>188</v>
      </c>
      <c r="D58" s="20" t="s">
        <v>44</v>
      </c>
      <c r="E58" s="109" t="s">
        <v>61</v>
      </c>
      <c r="F58" s="40">
        <v>45250</v>
      </c>
      <c r="G58" s="34" t="s">
        <v>189</v>
      </c>
      <c r="H58" s="35" t="s">
        <v>127</v>
      </c>
      <c r="I58" s="36" t="s">
        <v>55</v>
      </c>
      <c r="J58" s="88">
        <v>45576</v>
      </c>
      <c r="K58" s="3">
        <v>45317</v>
      </c>
      <c r="L58" s="3"/>
      <c r="M58" s="3">
        <v>46412</v>
      </c>
      <c r="N58" s="27">
        <f t="shared" si="100"/>
        <v>46320</v>
      </c>
      <c r="O58" s="65">
        <v>46003</v>
      </c>
      <c r="P58" s="15">
        <v>45330</v>
      </c>
      <c r="Q58" s="3"/>
      <c r="R58" s="27">
        <f t="shared" si="21"/>
        <v>47156</v>
      </c>
      <c r="S58" s="27">
        <f t="shared" si="112"/>
        <v>47064</v>
      </c>
      <c r="T58" s="13">
        <v>45314</v>
      </c>
      <c r="U58" s="28"/>
      <c r="V58" s="9">
        <v>46052</v>
      </c>
      <c r="W58" s="137">
        <v>47147</v>
      </c>
      <c r="X58" s="41">
        <f t="shared" ref="X58" si="115">DATE(YEAR(W58),MONTH(W58)-3,DAY(W58))</f>
        <v>47055</v>
      </c>
      <c r="Y58" s="273"/>
      <c r="Z58" s="2">
        <v>45603</v>
      </c>
      <c r="AA58" s="46"/>
      <c r="AB58" s="25">
        <f t="shared" si="109"/>
        <v>47428</v>
      </c>
      <c r="AC58" s="3">
        <f t="shared" ref="AC58:AC59" si="116">DATE(YEAR(AB58),MONTH(AB58)-3,DAY(AB58))</f>
        <v>47336</v>
      </c>
      <c r="AD58" s="26">
        <v>45588</v>
      </c>
      <c r="AE58" s="12"/>
      <c r="AF58" s="42">
        <f t="shared" ref="AF58" si="117">DATE(YEAR(AD58)+10,MONTH(AD58),DAY(AD58)-1)</f>
        <v>49239</v>
      </c>
      <c r="AG58" s="27">
        <f t="shared" ref="AG58" si="118">DATE(YEAR(AF58),MONTH(AF58)-3,DAY(AF58))</f>
        <v>49147</v>
      </c>
      <c r="AH58" s="26"/>
      <c r="AI58" s="12"/>
      <c r="AJ58" s="27"/>
      <c r="AK58" s="42"/>
      <c r="AL58" s="26"/>
      <c r="AM58" s="12"/>
      <c r="AN58" s="9"/>
      <c r="AO58" s="42"/>
      <c r="AP58" s="26"/>
      <c r="AQ58" s="26"/>
      <c r="AR58" s="26"/>
      <c r="AS58" s="9"/>
      <c r="AT58" s="9"/>
      <c r="AU58" s="70"/>
      <c r="AV58" s="26"/>
      <c r="AW58" s="12"/>
      <c r="AX58" s="27"/>
      <c r="AY58" s="41"/>
      <c r="AZ58" s="61"/>
      <c r="BA58" s="3"/>
      <c r="BB58" s="16"/>
      <c r="BC58" s="61"/>
      <c r="BD58" s="3"/>
      <c r="BE58" s="3"/>
      <c r="BF58" s="3"/>
      <c r="BG58" s="198"/>
      <c r="BH58" s="206"/>
    </row>
    <row r="59" spans="1:60" x14ac:dyDescent="0.3">
      <c r="A59">
        <f t="shared" si="20"/>
        <v>52</v>
      </c>
      <c r="B59" s="19" t="s">
        <v>190</v>
      </c>
      <c r="C59" s="8" t="s">
        <v>50</v>
      </c>
      <c r="D59" s="20" t="s">
        <v>44</v>
      </c>
      <c r="E59" s="109" t="s">
        <v>61</v>
      </c>
      <c r="F59" s="40">
        <v>45964</v>
      </c>
      <c r="G59" s="34" t="s">
        <v>62</v>
      </c>
      <c r="H59" s="35" t="s">
        <v>47</v>
      </c>
      <c r="I59" s="36" t="s">
        <v>55</v>
      </c>
      <c r="J59" s="324">
        <v>46739</v>
      </c>
      <c r="K59" s="3" t="s">
        <v>191</v>
      </c>
      <c r="L59" s="3"/>
      <c r="M59" s="3">
        <v>47082</v>
      </c>
      <c r="N59" s="27">
        <f t="shared" si="100"/>
        <v>46990</v>
      </c>
      <c r="O59" s="3">
        <v>45987</v>
      </c>
      <c r="P59" s="184">
        <v>45971</v>
      </c>
      <c r="Q59" s="3"/>
      <c r="R59" s="27">
        <f t="shared" si="21"/>
        <v>47796</v>
      </c>
      <c r="S59" s="27">
        <f t="shared" si="112"/>
        <v>47704</v>
      </c>
      <c r="T59" s="272">
        <v>45966</v>
      </c>
      <c r="U59" s="28"/>
      <c r="V59" s="89">
        <v>46087</v>
      </c>
      <c r="W59" s="89">
        <v>47182</v>
      </c>
      <c r="X59" s="41">
        <f>DATE(YEAR(W59),MONTH(W59)-3,DAY(W59))</f>
        <v>47092</v>
      </c>
      <c r="Y59" s="49">
        <v>46037</v>
      </c>
      <c r="Z59" s="2"/>
      <c r="AA59" s="46"/>
      <c r="AB59" s="27">
        <v>47862</v>
      </c>
      <c r="AC59" s="3">
        <f t="shared" si="116"/>
        <v>47770</v>
      </c>
      <c r="AD59" s="27">
        <v>46043</v>
      </c>
      <c r="AE59" s="12"/>
      <c r="AF59" s="42">
        <f t="shared" ref="AF59" si="119">DATE(YEAR(AD59)+10,MONTH(AD59),DAY(AD59)-1)</f>
        <v>49694</v>
      </c>
      <c r="AG59" s="27">
        <f t="shared" ref="AG59" si="120">DATE(YEAR(AF59),MONTH(AF59)-3,DAY(AF59))</f>
        <v>49602</v>
      </c>
      <c r="AH59" s="26"/>
      <c r="AI59" s="12"/>
      <c r="AJ59" s="27"/>
      <c r="AK59" s="42"/>
      <c r="AL59" s="26"/>
      <c r="AM59" s="12"/>
      <c r="AN59" s="9"/>
      <c r="AO59" s="42"/>
      <c r="AP59" s="26"/>
      <c r="AQ59" s="26"/>
      <c r="AR59" s="26"/>
      <c r="AS59" s="9"/>
      <c r="AT59" s="9"/>
      <c r="AU59" s="70"/>
      <c r="AV59" s="26"/>
      <c r="AW59" s="12"/>
      <c r="AX59" s="27"/>
      <c r="AY59" s="41"/>
      <c r="AZ59" s="61"/>
      <c r="BA59" s="3"/>
      <c r="BB59" s="16"/>
      <c r="BC59" s="61"/>
      <c r="BD59" s="3"/>
      <c r="BE59" s="3"/>
      <c r="BF59" s="3"/>
      <c r="BG59" s="198"/>
      <c r="BH59" s="206"/>
    </row>
    <row r="60" spans="1:60" x14ac:dyDescent="0.3">
      <c r="A60">
        <f t="shared" si="20"/>
        <v>53</v>
      </c>
      <c r="B60" s="19" t="s">
        <v>192</v>
      </c>
      <c r="C60" s="8" t="s">
        <v>193</v>
      </c>
      <c r="D60" s="8" t="s">
        <v>68</v>
      </c>
      <c r="E60" s="111" t="s">
        <v>194</v>
      </c>
      <c r="F60" s="40">
        <v>45190</v>
      </c>
      <c r="G60" s="34" t="s">
        <v>70</v>
      </c>
      <c r="H60" s="35" t="s">
        <v>58</v>
      </c>
      <c r="I60" s="36" t="s">
        <v>63</v>
      </c>
      <c r="J60" s="322">
        <v>45244</v>
      </c>
      <c r="K60" s="3">
        <v>45317</v>
      </c>
      <c r="L60" s="5"/>
      <c r="M60" s="3">
        <v>46412</v>
      </c>
      <c r="N60" s="27">
        <f t="shared" si="100"/>
        <v>46320</v>
      </c>
      <c r="O60" s="65">
        <v>45621</v>
      </c>
      <c r="P60" s="15">
        <v>45436</v>
      </c>
      <c r="Q60" s="3"/>
      <c r="R60" s="27">
        <f t="shared" si="21"/>
        <v>47261</v>
      </c>
      <c r="S60" s="27">
        <f t="shared" si="112"/>
        <v>47172</v>
      </c>
      <c r="T60" s="26"/>
      <c r="U60" s="7"/>
      <c r="V60" s="7"/>
      <c r="W60" s="7"/>
      <c r="X60" s="71"/>
      <c r="Y60" s="47"/>
      <c r="Z60" s="9"/>
      <c r="AA60" s="9"/>
      <c r="AB60" s="27"/>
      <c r="AC60" s="27"/>
      <c r="AD60" s="26"/>
      <c r="AE60" s="12"/>
      <c r="AF60" s="42"/>
      <c r="AG60" s="49"/>
      <c r="AH60" s="26"/>
      <c r="AI60" s="12"/>
      <c r="AJ60" s="27"/>
      <c r="AK60" s="42"/>
      <c r="AL60" s="26"/>
      <c r="AM60" s="12"/>
      <c r="AN60" s="9"/>
      <c r="AO60" s="9"/>
      <c r="AP60" s="26"/>
      <c r="AQ60" s="26"/>
      <c r="AR60" s="26"/>
      <c r="AS60" s="9"/>
      <c r="AT60" s="9"/>
      <c r="AU60" s="70"/>
      <c r="AV60" s="26"/>
      <c r="AW60" s="12"/>
      <c r="AX60" s="27"/>
      <c r="AY60" s="41"/>
      <c r="AZ60" s="61"/>
      <c r="BA60" s="3"/>
      <c r="BB60" s="16"/>
      <c r="BC60" s="61"/>
      <c r="BD60" s="3"/>
      <c r="BE60" s="3"/>
      <c r="BF60" s="3"/>
      <c r="BG60" s="198"/>
      <c r="BH60" s="206"/>
    </row>
    <row r="61" spans="1:60" x14ac:dyDescent="0.3">
      <c r="A61">
        <f t="shared" si="20"/>
        <v>54</v>
      </c>
      <c r="B61" s="19" t="s">
        <v>195</v>
      </c>
      <c r="C61" s="8" t="s">
        <v>140</v>
      </c>
      <c r="D61" s="20" t="s">
        <v>56</v>
      </c>
      <c r="E61" s="109" t="s">
        <v>57</v>
      </c>
      <c r="F61" s="40">
        <v>45537</v>
      </c>
      <c r="G61" s="34" t="s">
        <v>80</v>
      </c>
      <c r="H61" s="35" t="s">
        <v>106</v>
      </c>
      <c r="I61" s="36" t="s">
        <v>196</v>
      </c>
      <c r="J61" s="324">
        <v>45586</v>
      </c>
      <c r="K61" s="3">
        <v>45671</v>
      </c>
      <c r="L61" s="5"/>
      <c r="M61" s="3">
        <v>46400</v>
      </c>
      <c r="N61" s="27">
        <f t="shared" si="100"/>
        <v>46308</v>
      </c>
      <c r="O61" s="65"/>
      <c r="P61" s="15"/>
      <c r="Q61" s="3"/>
      <c r="R61" s="27"/>
      <c r="S61" s="27"/>
      <c r="T61" s="26"/>
      <c r="U61" s="7"/>
      <c r="V61" s="7"/>
      <c r="W61" s="9"/>
      <c r="X61" s="41"/>
      <c r="Y61" s="47"/>
      <c r="Z61" s="9"/>
      <c r="AA61" s="9"/>
      <c r="AB61" s="27"/>
      <c r="AC61" s="27"/>
      <c r="AD61" s="26"/>
      <c r="AE61" s="12"/>
      <c r="AF61" s="42"/>
      <c r="AG61" s="49"/>
      <c r="AH61" s="26"/>
      <c r="AI61" s="12"/>
      <c r="AJ61" s="27"/>
      <c r="AK61" s="42"/>
      <c r="AL61" s="26"/>
      <c r="AM61" s="12"/>
      <c r="AN61" s="9"/>
      <c r="AO61" s="27"/>
      <c r="AP61" s="26"/>
      <c r="AQ61" s="26"/>
      <c r="AR61" s="26"/>
      <c r="AS61" s="9"/>
      <c r="AT61" s="9"/>
      <c r="AU61" s="70"/>
      <c r="AV61" s="26"/>
      <c r="AW61" s="12"/>
      <c r="AX61" s="9"/>
      <c r="AY61" s="41"/>
      <c r="AZ61" s="61"/>
      <c r="BA61" s="3"/>
      <c r="BB61" s="16"/>
      <c r="BC61" s="61"/>
      <c r="BD61" s="61"/>
      <c r="BE61" s="3"/>
      <c r="BF61" s="3"/>
      <c r="BG61" s="198"/>
      <c r="BH61" s="206"/>
    </row>
    <row r="62" spans="1:60" x14ac:dyDescent="0.3">
      <c r="A62">
        <f t="shared" si="20"/>
        <v>55</v>
      </c>
      <c r="B62" s="19" t="s">
        <v>197</v>
      </c>
      <c r="C62" s="8" t="s">
        <v>183</v>
      </c>
      <c r="D62" s="8" t="s">
        <v>68</v>
      </c>
      <c r="E62" s="111" t="s">
        <v>198</v>
      </c>
      <c r="F62" s="40">
        <v>45190</v>
      </c>
      <c r="G62" s="34" t="s">
        <v>70</v>
      </c>
      <c r="H62" s="35" t="s">
        <v>58</v>
      </c>
      <c r="I62" s="36" t="s">
        <v>63</v>
      </c>
      <c r="J62" s="322">
        <v>45209</v>
      </c>
      <c r="K62" s="3">
        <v>45317</v>
      </c>
      <c r="L62" s="5"/>
      <c r="M62" s="3">
        <v>46412</v>
      </c>
      <c r="N62" s="27">
        <f t="shared" si="100"/>
        <v>46320</v>
      </c>
      <c r="O62" s="65"/>
      <c r="P62" s="15">
        <v>45436</v>
      </c>
      <c r="Q62" s="3"/>
      <c r="R62" s="27">
        <f t="shared" si="21"/>
        <v>47261</v>
      </c>
      <c r="S62" s="27">
        <f t="shared" si="112"/>
        <v>47172</v>
      </c>
      <c r="T62" s="26"/>
      <c r="U62" s="7"/>
      <c r="V62" s="7"/>
      <c r="W62" s="9"/>
      <c r="X62" s="47"/>
      <c r="Y62" s="192"/>
      <c r="Z62" s="9"/>
      <c r="AA62" s="9"/>
      <c r="AB62" s="27"/>
      <c r="AC62" s="27"/>
      <c r="AD62" s="26"/>
      <c r="AE62" s="12"/>
      <c r="AF62" s="42"/>
      <c r="AG62" s="49"/>
      <c r="AH62" s="26"/>
      <c r="AI62" s="12"/>
      <c r="AJ62" s="27"/>
      <c r="AK62" s="42"/>
      <c r="AL62" s="26"/>
      <c r="AM62" s="12"/>
      <c r="AN62" s="9"/>
      <c r="AO62" s="46"/>
      <c r="AP62" s="26"/>
      <c r="AQ62" s="26"/>
      <c r="AR62" s="26"/>
      <c r="AS62" s="9"/>
      <c r="AT62" s="9"/>
      <c r="AU62" s="70"/>
      <c r="AV62" s="26"/>
      <c r="AW62" s="12"/>
      <c r="AX62" s="9"/>
      <c r="AY62" s="70"/>
      <c r="AZ62" s="12"/>
      <c r="BA62" s="9"/>
      <c r="BB62" s="70"/>
      <c r="BC62" s="288"/>
      <c r="BD62" s="12"/>
      <c r="BE62" s="9"/>
      <c r="BF62" s="9"/>
      <c r="BG62" s="202"/>
      <c r="BH62" s="206"/>
    </row>
    <row r="63" spans="1:60" x14ac:dyDescent="0.3">
      <c r="A63">
        <f t="shared" si="20"/>
        <v>56</v>
      </c>
      <c r="B63" s="19" t="s">
        <v>199</v>
      </c>
      <c r="C63" s="8" t="s">
        <v>200</v>
      </c>
      <c r="D63" s="20" t="s">
        <v>68</v>
      </c>
      <c r="E63" s="109" t="s">
        <v>198</v>
      </c>
      <c r="F63" s="40">
        <v>44612</v>
      </c>
      <c r="G63" s="34" t="s">
        <v>201</v>
      </c>
      <c r="H63" s="35" t="s">
        <v>70</v>
      </c>
      <c r="I63" s="36" t="s">
        <v>55</v>
      </c>
      <c r="J63" s="322">
        <v>45369</v>
      </c>
      <c r="K63" s="3">
        <v>44580</v>
      </c>
      <c r="L63" s="3">
        <v>45684</v>
      </c>
      <c r="M63" s="3">
        <v>46778</v>
      </c>
      <c r="N63" s="27">
        <f t="shared" si="100"/>
        <v>46686</v>
      </c>
      <c r="O63" s="65"/>
      <c r="P63" s="15">
        <v>45436</v>
      </c>
      <c r="Q63" s="21">
        <v>45989</v>
      </c>
      <c r="R63" s="27">
        <f>DATE(YEAR(Q63)+5,MONTH(P63),DAY(P63)-1)</f>
        <v>47626</v>
      </c>
      <c r="S63" s="27">
        <f t="shared" si="112"/>
        <v>47537</v>
      </c>
      <c r="T63" s="13">
        <v>44593</v>
      </c>
      <c r="U63" s="2">
        <v>44593</v>
      </c>
      <c r="V63" s="2"/>
      <c r="W63" s="2" t="s">
        <v>202</v>
      </c>
      <c r="X63" s="27"/>
      <c r="Y63" s="192"/>
      <c r="Z63" s="9">
        <v>44602</v>
      </c>
      <c r="AA63" s="9"/>
      <c r="AB63" s="27">
        <f t="shared" ref="AB63:AB68" si="121">DATE(YEAR(Z63)+5,MONTH(Z63),DAY(Z63)-1)</f>
        <v>46427</v>
      </c>
      <c r="AC63" s="27">
        <f t="shared" ref="AC63:AC67" si="122">DATE(YEAR(AB63),MONTH(AB63)-3,DAY(AB63))</f>
        <v>46335</v>
      </c>
      <c r="AD63" s="26">
        <v>44609</v>
      </c>
      <c r="AE63" s="12"/>
      <c r="AF63" s="42">
        <f t="shared" si="34"/>
        <v>48260</v>
      </c>
      <c r="AG63" s="27">
        <f t="shared" ref="AG63:AG64" si="123">DATE(YEAR(AF63),MONTH(AF63)-3,DAY(AF63))</f>
        <v>48168</v>
      </c>
      <c r="AH63" s="26">
        <v>44260</v>
      </c>
      <c r="AI63" s="12"/>
      <c r="AJ63" s="264" t="s">
        <v>202</v>
      </c>
      <c r="AK63" s="42"/>
      <c r="AL63" s="26"/>
      <c r="AM63" s="12"/>
      <c r="AN63" s="9"/>
      <c r="AO63" s="27"/>
      <c r="AP63" s="26"/>
      <c r="AQ63" s="26"/>
      <c r="AR63" s="237"/>
      <c r="AS63" s="9"/>
      <c r="AT63" s="9"/>
      <c r="AU63" s="70"/>
      <c r="AV63" s="26"/>
      <c r="AW63" s="12"/>
      <c r="AX63" s="9"/>
      <c r="AY63" s="41"/>
      <c r="AZ63" s="61"/>
      <c r="BA63" s="3"/>
      <c r="BB63" s="16"/>
      <c r="BC63" s="287"/>
      <c r="BD63" s="61"/>
      <c r="BE63" s="3"/>
      <c r="BF63" s="3"/>
      <c r="BG63" s="198"/>
      <c r="BH63" s="206"/>
    </row>
    <row r="64" spans="1:60" x14ac:dyDescent="0.3">
      <c r="A64">
        <f t="shared" si="20"/>
        <v>57</v>
      </c>
      <c r="B64" s="225" t="s">
        <v>199</v>
      </c>
      <c r="C64" s="8" t="s">
        <v>203</v>
      </c>
      <c r="D64" s="20" t="s">
        <v>44</v>
      </c>
      <c r="E64" s="109" t="s">
        <v>61</v>
      </c>
      <c r="F64" s="40">
        <v>44445</v>
      </c>
      <c r="G64" s="34" t="s">
        <v>62</v>
      </c>
      <c r="H64" s="32" t="s">
        <v>47</v>
      </c>
      <c r="I64" s="36" t="s">
        <v>55</v>
      </c>
      <c r="J64" s="322">
        <v>45975</v>
      </c>
      <c r="K64" s="3">
        <v>44580</v>
      </c>
      <c r="L64" s="3">
        <v>45678</v>
      </c>
      <c r="M64" s="3">
        <v>46772</v>
      </c>
      <c r="N64" s="27">
        <f t="shared" si="100"/>
        <v>46680</v>
      </c>
      <c r="O64" s="65">
        <v>45677</v>
      </c>
      <c r="P64" s="15">
        <v>44580</v>
      </c>
      <c r="Q64" s="21">
        <v>45989</v>
      </c>
      <c r="R64" s="27">
        <f>DATE(YEAR(Q64)+5,MONTH(P64),DAY(P64)-1)</f>
        <v>47501</v>
      </c>
      <c r="S64" s="27">
        <f t="shared" si="112"/>
        <v>47409</v>
      </c>
      <c r="T64" s="13">
        <v>44914</v>
      </c>
      <c r="U64" s="2"/>
      <c r="V64" s="2">
        <v>45742</v>
      </c>
      <c r="W64" s="2">
        <v>46837</v>
      </c>
      <c r="X64" s="27">
        <f t="shared" ref="X64:X67" si="124">DATE(YEAR(W64),MONTH(W64)-3,DAY(W64))</f>
        <v>46746</v>
      </c>
      <c r="Y64" s="44">
        <v>45471</v>
      </c>
      <c r="Z64" s="2">
        <v>44572</v>
      </c>
      <c r="AA64" s="2"/>
      <c r="AB64" s="27">
        <f>DATE(YEAR(Y64)+5,MONTH(Y64),DAY(Y64)-1)</f>
        <v>47296</v>
      </c>
      <c r="AC64" s="27">
        <f t="shared" si="122"/>
        <v>47204</v>
      </c>
      <c r="AD64" s="13">
        <v>44617</v>
      </c>
      <c r="AE64" s="10"/>
      <c r="AF64" s="42">
        <f t="shared" si="34"/>
        <v>48268</v>
      </c>
      <c r="AG64" s="27">
        <f t="shared" si="123"/>
        <v>48176</v>
      </c>
      <c r="AH64" s="13"/>
      <c r="AI64" s="10"/>
      <c r="AJ64" s="27"/>
      <c r="AK64" s="42"/>
      <c r="AL64" s="13"/>
      <c r="AM64" s="10"/>
      <c r="AN64" s="2"/>
      <c r="AO64" s="27"/>
      <c r="AP64" s="13"/>
      <c r="AQ64" s="13"/>
      <c r="AR64" s="26">
        <v>46052</v>
      </c>
      <c r="AS64" s="2"/>
      <c r="AT64" s="27">
        <v>46416</v>
      </c>
      <c r="AU64" s="41">
        <v>46324</v>
      </c>
      <c r="AV64" s="13">
        <v>45674</v>
      </c>
      <c r="AW64" s="10"/>
      <c r="AX64" s="27">
        <v>46404</v>
      </c>
      <c r="AY64" s="16">
        <v>46343</v>
      </c>
      <c r="AZ64" s="61"/>
      <c r="BA64" s="3"/>
      <c r="BB64" s="16"/>
      <c r="BC64" s="61"/>
      <c r="BD64" s="61"/>
      <c r="BE64" s="3"/>
      <c r="BF64" s="3"/>
      <c r="BG64" s="198"/>
      <c r="BH64" s="206"/>
    </row>
    <row r="65" spans="1:60" ht="17.399999999999999" customHeight="1" x14ac:dyDescent="0.3">
      <c r="A65">
        <f t="shared" si="20"/>
        <v>58</v>
      </c>
      <c r="B65" s="225" t="s">
        <v>204</v>
      </c>
      <c r="C65" s="8" t="s">
        <v>205</v>
      </c>
      <c r="D65" s="20" t="s">
        <v>44</v>
      </c>
      <c r="E65" s="109" t="s">
        <v>87</v>
      </c>
      <c r="F65" s="40">
        <v>45495</v>
      </c>
      <c r="G65" s="101" t="s">
        <v>47</v>
      </c>
      <c r="H65" s="35" t="s">
        <v>58</v>
      </c>
      <c r="I65" s="36" t="s">
        <v>63</v>
      </c>
      <c r="J65" s="322">
        <v>45545</v>
      </c>
      <c r="K65" s="3">
        <v>45553</v>
      </c>
      <c r="L65" s="3"/>
      <c r="M65" s="3">
        <v>46647</v>
      </c>
      <c r="N65" s="27">
        <f t="shared" si="100"/>
        <v>46555</v>
      </c>
      <c r="O65" s="65">
        <v>45553</v>
      </c>
      <c r="P65" s="15">
        <v>44729</v>
      </c>
      <c r="Q65" s="3"/>
      <c r="R65" s="27">
        <f t="shared" si="21"/>
        <v>46554</v>
      </c>
      <c r="S65" s="27">
        <f t="shared" si="112"/>
        <v>46462</v>
      </c>
      <c r="T65" s="13">
        <v>45499</v>
      </c>
      <c r="U65" s="79"/>
      <c r="V65" s="2"/>
      <c r="W65" s="10">
        <v>46593</v>
      </c>
      <c r="X65" s="10">
        <f t="shared" si="124"/>
        <v>46502</v>
      </c>
      <c r="Y65" s="45"/>
      <c r="Z65" s="3"/>
      <c r="AA65" s="2"/>
      <c r="AB65" s="27"/>
      <c r="AC65" s="27"/>
      <c r="AD65" s="13"/>
      <c r="AE65" s="10"/>
      <c r="AF65" s="42"/>
      <c r="AG65" s="27"/>
      <c r="AH65" s="107"/>
      <c r="AI65" s="10"/>
      <c r="AJ65" s="27"/>
      <c r="AK65" s="42"/>
      <c r="AL65" s="26">
        <v>45561</v>
      </c>
      <c r="AM65" s="10"/>
      <c r="AN65" s="2">
        <v>47386</v>
      </c>
      <c r="AO65" s="27">
        <v>47294</v>
      </c>
      <c r="AP65" s="13"/>
      <c r="AQ65" s="13"/>
      <c r="AR65" s="26">
        <v>46052</v>
      </c>
      <c r="AS65" s="2"/>
      <c r="AT65" s="27">
        <v>46416</v>
      </c>
      <c r="AU65" s="41">
        <v>46324</v>
      </c>
      <c r="AV65" s="13">
        <v>45296</v>
      </c>
      <c r="AW65" s="13">
        <v>46038</v>
      </c>
      <c r="AX65" s="2">
        <v>46767</v>
      </c>
      <c r="AY65" s="41">
        <v>46675</v>
      </c>
      <c r="AZ65" s="61"/>
      <c r="BA65" s="3"/>
      <c r="BB65" s="16"/>
      <c r="BC65" s="287"/>
      <c r="BD65" s="61"/>
      <c r="BE65" s="3"/>
      <c r="BF65" s="3"/>
      <c r="BG65" s="198"/>
      <c r="BH65" s="206"/>
    </row>
    <row r="66" spans="1:60" s="81" customFormat="1" x14ac:dyDescent="0.3">
      <c r="A66">
        <f t="shared" si="20"/>
        <v>59</v>
      </c>
      <c r="B66" s="19" t="s">
        <v>206</v>
      </c>
      <c r="C66" s="8" t="s">
        <v>207</v>
      </c>
      <c r="D66" s="95" t="s">
        <v>44</v>
      </c>
      <c r="E66" s="113" t="s">
        <v>61</v>
      </c>
      <c r="F66" s="96">
        <v>45488</v>
      </c>
      <c r="G66" s="102" t="s">
        <v>181</v>
      </c>
      <c r="H66" s="98" t="s">
        <v>178</v>
      </c>
      <c r="I66" s="99" t="s">
        <v>48</v>
      </c>
      <c r="J66" s="324">
        <v>45523</v>
      </c>
      <c r="K66" s="90">
        <v>45476</v>
      </c>
      <c r="L66" s="90"/>
      <c r="M66" s="90">
        <v>46570</v>
      </c>
      <c r="N66" s="72">
        <f t="shared" ref="N66" si="125">DATE(YEAR(M66),MONTH(M66)-3,DAY(M66))</f>
        <v>46479</v>
      </c>
      <c r="O66" s="267">
        <v>45477</v>
      </c>
      <c r="P66" s="92">
        <v>45460</v>
      </c>
      <c r="Q66" s="93"/>
      <c r="R66" s="72">
        <f>DATE(YEAR(P66)+5,MONTH(P66),DAY(P66)-1)</f>
        <v>47285</v>
      </c>
      <c r="S66" s="72">
        <f t="shared" ref="S66" si="126">DATE(YEAR(R66),MONTH(R66)-3,DAY(R66))</f>
        <v>47193</v>
      </c>
      <c r="T66" s="13">
        <v>45457</v>
      </c>
      <c r="U66" s="88"/>
      <c r="V66" s="89">
        <v>46085</v>
      </c>
      <c r="W66" s="89">
        <v>47180</v>
      </c>
      <c r="X66" s="10">
        <f t="shared" si="124"/>
        <v>47090</v>
      </c>
      <c r="Y66" s="106"/>
      <c r="Z66" s="27">
        <v>45483</v>
      </c>
      <c r="AA66" s="2"/>
      <c r="AB66" s="27">
        <f t="shared" si="121"/>
        <v>47308</v>
      </c>
      <c r="AC66" s="42">
        <f t="shared" ref="AC66" si="127">DATE(YEAR(AB66),MONTH(AB66)-3,DAY(AB66))</f>
        <v>47217</v>
      </c>
      <c r="AD66" s="13">
        <v>45456</v>
      </c>
      <c r="AE66" s="10"/>
      <c r="AF66" s="42">
        <f t="shared" ref="AF66" si="128">DATE(YEAR(AD66)+10,MONTH(AD66),DAY(AD66)-1)</f>
        <v>49107</v>
      </c>
      <c r="AG66" s="27">
        <f t="shared" ref="AG66" si="129">DATE(YEAR(AF66),MONTH(AF66)-3,DAY(AF66))</f>
        <v>49015</v>
      </c>
      <c r="AH66" s="92"/>
      <c r="AI66" s="93"/>
      <c r="AJ66" s="27"/>
      <c r="AK66" s="42"/>
      <c r="AL66" s="92"/>
      <c r="AM66" s="93"/>
      <c r="AN66" s="90"/>
      <c r="AO66" s="72"/>
      <c r="AP66" s="92"/>
      <c r="AQ66" s="92"/>
      <c r="AR66" s="240"/>
      <c r="AS66" s="242"/>
      <c r="AT66" s="242"/>
      <c r="AU66" s="244"/>
      <c r="AV66" s="92"/>
      <c r="AW66" s="93"/>
      <c r="AX66" s="90"/>
      <c r="AY66" s="94"/>
      <c r="AZ66" s="266"/>
      <c r="BA66" s="76"/>
      <c r="BB66" s="275"/>
      <c r="BC66" s="266"/>
      <c r="BD66" s="266"/>
      <c r="BE66" s="76"/>
      <c r="BF66" s="76"/>
      <c r="BG66" s="199"/>
      <c r="BH66" s="207"/>
    </row>
    <row r="67" spans="1:60" x14ac:dyDescent="0.3">
      <c r="A67">
        <f t="shared" si="20"/>
        <v>60</v>
      </c>
      <c r="B67" s="19" t="s">
        <v>208</v>
      </c>
      <c r="C67" s="8" t="s">
        <v>209</v>
      </c>
      <c r="D67" s="20" t="s">
        <v>68</v>
      </c>
      <c r="E67" s="109" t="s">
        <v>198</v>
      </c>
      <c r="F67" s="40">
        <v>44977</v>
      </c>
      <c r="G67" s="101" t="s">
        <v>201</v>
      </c>
      <c r="H67" s="35" t="s">
        <v>70</v>
      </c>
      <c r="I67" s="36" t="s">
        <v>55</v>
      </c>
      <c r="J67" s="322">
        <v>46153</v>
      </c>
      <c r="K67" s="2">
        <v>45021</v>
      </c>
      <c r="L67" s="2">
        <v>46084</v>
      </c>
      <c r="M67" s="2">
        <v>47179</v>
      </c>
      <c r="N67" s="27">
        <f t="shared" si="100"/>
        <v>47089</v>
      </c>
      <c r="O67" s="269"/>
      <c r="P67" s="15">
        <v>45572</v>
      </c>
      <c r="Q67" s="3"/>
      <c r="R67" s="27">
        <f t="shared" si="21"/>
        <v>47397</v>
      </c>
      <c r="S67" s="27">
        <f t="shared" si="112"/>
        <v>47305</v>
      </c>
      <c r="T67" s="26">
        <v>46098</v>
      </c>
      <c r="U67" s="50"/>
      <c r="V67" s="7"/>
      <c r="W67" s="12">
        <v>47193</v>
      </c>
      <c r="X67" s="27">
        <f t="shared" si="124"/>
        <v>47103</v>
      </c>
      <c r="Y67" s="44"/>
      <c r="Z67" s="2">
        <v>45007</v>
      </c>
      <c r="AA67" s="2"/>
      <c r="AB67" s="27">
        <f t="shared" si="121"/>
        <v>46833</v>
      </c>
      <c r="AC67" s="27">
        <f t="shared" si="122"/>
        <v>46742</v>
      </c>
      <c r="AD67" s="13"/>
      <c r="AE67" s="10"/>
      <c r="AF67" s="42"/>
      <c r="AG67" s="27"/>
      <c r="AH67" s="13"/>
      <c r="AI67" s="10"/>
      <c r="AJ67" s="27"/>
      <c r="AK67" s="42"/>
      <c r="AL67" s="13"/>
      <c r="AM67" s="10"/>
      <c r="AN67" s="9"/>
      <c r="AO67" s="27"/>
      <c r="AP67" s="13"/>
      <c r="AQ67" s="13"/>
      <c r="AR67" s="13"/>
      <c r="AS67" s="2"/>
      <c r="AT67" s="2"/>
      <c r="AU67" s="176"/>
      <c r="AV67" s="13"/>
      <c r="AW67" s="10"/>
      <c r="AX67" s="9"/>
      <c r="AY67" s="41"/>
      <c r="AZ67" s="61"/>
      <c r="BA67" s="3"/>
      <c r="BB67" s="16"/>
      <c r="BC67" s="287"/>
      <c r="BD67" s="61"/>
      <c r="BE67" s="3"/>
      <c r="BF67" s="3"/>
      <c r="BG67" s="198"/>
      <c r="BH67" s="206"/>
    </row>
    <row r="68" spans="1:60" x14ac:dyDescent="0.3">
      <c r="A68">
        <f t="shared" si="20"/>
        <v>61</v>
      </c>
      <c r="B68" s="225" t="s">
        <v>210</v>
      </c>
      <c r="C68" s="8" t="s">
        <v>211</v>
      </c>
      <c r="D68" s="67" t="s">
        <v>44</v>
      </c>
      <c r="E68" s="112" t="s">
        <v>87</v>
      </c>
      <c r="F68" s="40">
        <v>45600</v>
      </c>
      <c r="G68" s="101" t="s">
        <v>47</v>
      </c>
      <c r="H68" s="35" t="s">
        <v>58</v>
      </c>
      <c r="I68" s="36" t="s">
        <v>63</v>
      </c>
      <c r="J68" s="322">
        <v>45646</v>
      </c>
      <c r="K68" s="3">
        <v>45610</v>
      </c>
      <c r="L68" s="3"/>
      <c r="M68" s="3">
        <v>46704</v>
      </c>
      <c r="N68" s="27">
        <f t="shared" ref="N68:N76" si="130">DATE(YEAR(M68),MONTH(M68)-3,DAY(M68))</f>
        <v>46612</v>
      </c>
      <c r="O68" s="269">
        <v>45610</v>
      </c>
      <c r="P68" s="15">
        <v>45799</v>
      </c>
      <c r="Q68" s="3"/>
      <c r="R68" s="27">
        <f t="shared" ref="R68" si="131">DATE(YEAR(P68)+5,MONTH(P68),DAY(P68)-1)</f>
        <v>47624</v>
      </c>
      <c r="S68" s="27">
        <f t="shared" ref="S68" si="132">DATE(YEAR(R68),MONTH(R68)-3,DAY(R68))</f>
        <v>47535</v>
      </c>
      <c r="T68" s="26">
        <v>45604</v>
      </c>
      <c r="U68" s="80"/>
      <c r="V68" s="37"/>
      <c r="W68" s="78">
        <v>46698</v>
      </c>
      <c r="X68" s="27">
        <f t="shared" ref="X68:X74" si="133">DATE(YEAR(W68),MONTH(W68)-3,DAY(W68))</f>
        <v>46606</v>
      </c>
      <c r="Y68" s="45"/>
      <c r="Z68" s="3">
        <v>45072</v>
      </c>
      <c r="AA68" s="7"/>
      <c r="AB68" s="27">
        <f t="shared" si="121"/>
        <v>46898</v>
      </c>
      <c r="AC68" s="27">
        <f t="shared" ref="AC68" si="134">DATE(YEAR(AB68),MONTH(AB68)-3,DAY(AB68))</f>
        <v>46808</v>
      </c>
      <c r="AD68" s="26"/>
      <c r="AE68" s="12"/>
      <c r="AF68" s="42"/>
      <c r="AG68" s="27"/>
      <c r="AH68" s="26">
        <v>45044</v>
      </c>
      <c r="AI68" s="12"/>
      <c r="AJ68" s="27">
        <f t="shared" ref="AJ68" si="135">DATE(YEAR(AH68)+5,MONTH(AH68),DAY(AH68)-1)</f>
        <v>46870</v>
      </c>
      <c r="AK68" s="42">
        <f t="shared" ref="AK68" si="136">DATE(YEAR(AJ68),MONTH(AJ68)-3,DAY(AJ68))</f>
        <v>46779</v>
      </c>
      <c r="AL68" s="26"/>
      <c r="AM68" s="12"/>
      <c r="AN68" s="9"/>
      <c r="AO68" s="27"/>
      <c r="AP68" s="26"/>
      <c r="AQ68" s="26"/>
      <c r="AR68" s="26">
        <v>46052</v>
      </c>
      <c r="AS68" s="9"/>
      <c r="AT68" s="27">
        <v>46416</v>
      </c>
      <c r="AU68" s="41">
        <v>46324</v>
      </c>
      <c r="AV68" s="26">
        <v>45259</v>
      </c>
      <c r="AW68" s="26">
        <v>45975</v>
      </c>
      <c r="AX68" s="9">
        <v>46704</v>
      </c>
      <c r="AY68" s="41">
        <v>46611</v>
      </c>
      <c r="AZ68" s="61"/>
      <c r="BA68" s="3"/>
      <c r="BB68" s="16"/>
      <c r="BC68" s="287"/>
      <c r="BD68" s="61"/>
      <c r="BE68" s="3"/>
      <c r="BF68" s="3"/>
      <c r="BG68" s="198"/>
      <c r="BH68" s="206"/>
    </row>
    <row r="69" spans="1:60" x14ac:dyDescent="0.3">
      <c r="A69">
        <f t="shared" si="20"/>
        <v>62</v>
      </c>
      <c r="B69" s="19" t="s">
        <v>212</v>
      </c>
      <c r="C69" s="8" t="s">
        <v>213</v>
      </c>
      <c r="D69" s="20" t="s">
        <v>44</v>
      </c>
      <c r="E69" s="109" t="s">
        <v>61</v>
      </c>
      <c r="F69" s="40">
        <v>45201</v>
      </c>
      <c r="G69" s="101" t="s">
        <v>181</v>
      </c>
      <c r="H69" s="35" t="s">
        <v>178</v>
      </c>
      <c r="I69" s="36" t="s">
        <v>48</v>
      </c>
      <c r="J69" s="322">
        <v>45929</v>
      </c>
      <c r="K69" s="3">
        <v>45317</v>
      </c>
      <c r="L69" s="6"/>
      <c r="M69" s="3">
        <v>46412</v>
      </c>
      <c r="N69" s="27">
        <f t="shared" si="130"/>
        <v>46320</v>
      </c>
      <c r="O69" s="269">
        <v>45475</v>
      </c>
      <c r="P69" s="15">
        <v>45576</v>
      </c>
      <c r="Q69" s="3"/>
      <c r="R69" s="27">
        <f t="shared" ref="R69" si="137">DATE(YEAR(P69)+5,MONTH(P69),DAY(P69)-1)</f>
        <v>47401</v>
      </c>
      <c r="S69" s="27">
        <f t="shared" ref="S69" si="138">DATE(YEAR(R69),MONTH(R69)-3,DAY(R69))</f>
        <v>47309</v>
      </c>
      <c r="T69" s="26">
        <v>45302</v>
      </c>
      <c r="U69" s="46"/>
      <c r="V69" s="89">
        <v>46085</v>
      </c>
      <c r="W69" s="89">
        <v>47180</v>
      </c>
      <c r="X69" s="27">
        <f t="shared" si="133"/>
        <v>47090</v>
      </c>
      <c r="Y69" s="45"/>
      <c r="Z69" s="3">
        <v>45595</v>
      </c>
      <c r="AA69" s="7"/>
      <c r="AB69" s="27">
        <f>DATE(YEAR(Z69)+5,MONTH(Z69),DAY(Z69)-1)</f>
        <v>47420</v>
      </c>
      <c r="AC69" s="27">
        <f>DATE(YEAR(AB69),MONTH(AB69)-3,DAY(AB69))</f>
        <v>47328</v>
      </c>
      <c r="AD69" s="26">
        <v>45470</v>
      </c>
      <c r="AE69" s="12"/>
      <c r="AF69" s="42">
        <f>DATE(YEAR(AD69)+10,MONTH(AD69),DAY(AD69)-1)</f>
        <v>49121</v>
      </c>
      <c r="AG69" s="27">
        <f>DATE(YEAR(AF69),MONTH(AF69)-3,DAY(AF69))</f>
        <v>49029</v>
      </c>
      <c r="AH69" s="26"/>
      <c r="AI69" s="12"/>
      <c r="AJ69" s="9"/>
      <c r="AK69" s="42"/>
      <c r="AL69" s="26"/>
      <c r="AM69" s="12"/>
      <c r="AN69" s="9"/>
      <c r="AO69" s="27"/>
      <c r="AP69" s="26" t="s">
        <v>214</v>
      </c>
      <c r="AQ69" s="26"/>
      <c r="AR69" s="240">
        <v>46115</v>
      </c>
      <c r="AS69" s="241"/>
      <c r="AT69" s="242">
        <v>46479</v>
      </c>
      <c r="AU69" s="243">
        <v>46389</v>
      </c>
      <c r="AV69" s="26"/>
      <c r="AW69" s="12"/>
      <c r="AX69" s="9"/>
      <c r="AY69" s="41"/>
      <c r="AZ69" s="61"/>
      <c r="BA69" s="3"/>
      <c r="BB69" s="16"/>
      <c r="BC69" s="287"/>
      <c r="BD69" s="61"/>
      <c r="BE69" s="3"/>
      <c r="BF69" s="3"/>
      <c r="BG69" s="198"/>
      <c r="BH69" s="206"/>
    </row>
    <row r="70" spans="1:60" x14ac:dyDescent="0.3">
      <c r="A70">
        <f t="shared" si="20"/>
        <v>63</v>
      </c>
      <c r="B70" s="19" t="s">
        <v>215</v>
      </c>
      <c r="C70" s="8" t="s">
        <v>108</v>
      </c>
      <c r="D70" s="8" t="s">
        <v>93</v>
      </c>
      <c r="E70" s="111" t="s">
        <v>216</v>
      </c>
      <c r="F70" s="40">
        <v>42975</v>
      </c>
      <c r="G70" s="101" t="s">
        <v>70</v>
      </c>
      <c r="H70" s="35" t="s">
        <v>58</v>
      </c>
      <c r="I70" s="36" t="s">
        <v>63</v>
      </c>
      <c r="J70" s="322">
        <v>45579</v>
      </c>
      <c r="K70" s="3">
        <v>43206</v>
      </c>
      <c r="L70" s="2">
        <v>45965</v>
      </c>
      <c r="M70" s="76">
        <v>47060</v>
      </c>
      <c r="N70" s="27">
        <f t="shared" si="130"/>
        <v>46968</v>
      </c>
      <c r="O70" s="269">
        <v>45621</v>
      </c>
      <c r="P70" s="15">
        <v>44981</v>
      </c>
      <c r="Q70" s="3"/>
      <c r="R70" s="27">
        <f t="shared" si="21"/>
        <v>46806</v>
      </c>
      <c r="S70" s="27">
        <f t="shared" ref="S70:S75" si="139">DATE(YEAR(R70),MONTH(R70)-3,DAY(R70))</f>
        <v>46714</v>
      </c>
      <c r="T70" s="26">
        <v>43087</v>
      </c>
      <c r="U70" s="46">
        <v>43237</v>
      </c>
      <c r="V70" s="89">
        <v>45405</v>
      </c>
      <c r="W70" s="89">
        <v>46499</v>
      </c>
      <c r="X70" s="27">
        <f t="shared" si="133"/>
        <v>46409</v>
      </c>
      <c r="Y70" s="191"/>
      <c r="Z70" s="7"/>
      <c r="AA70" s="7"/>
      <c r="AB70" s="27"/>
      <c r="AC70" s="27"/>
      <c r="AD70" s="17"/>
      <c r="AE70" s="11"/>
      <c r="AF70" s="42"/>
      <c r="AG70" s="27"/>
      <c r="AH70" s="17"/>
      <c r="AI70" s="11"/>
      <c r="AJ70" s="7"/>
      <c r="AK70" s="42"/>
      <c r="AL70" s="17"/>
      <c r="AM70" s="11"/>
      <c r="AN70" s="7"/>
      <c r="AO70" s="27"/>
      <c r="AP70" s="17"/>
      <c r="AQ70" s="17"/>
      <c r="AR70" s="17"/>
      <c r="AS70" s="7"/>
      <c r="AT70" s="7"/>
      <c r="AU70" s="71"/>
      <c r="AV70" s="26">
        <v>45688</v>
      </c>
      <c r="AW70" s="11"/>
      <c r="AX70" s="9">
        <v>46418</v>
      </c>
      <c r="AY70" s="16">
        <v>46356</v>
      </c>
      <c r="AZ70" s="61">
        <v>46121</v>
      </c>
      <c r="BA70" s="3"/>
      <c r="BB70" s="16">
        <v>47581</v>
      </c>
      <c r="BC70" s="287"/>
      <c r="BD70" s="61"/>
      <c r="BE70" s="3"/>
      <c r="BF70" s="3"/>
      <c r="BG70" s="198"/>
      <c r="BH70" s="206"/>
    </row>
    <row r="71" spans="1:60" s="81" customFormat="1" x14ac:dyDescent="0.3">
      <c r="A71">
        <f t="shared" si="20"/>
        <v>64</v>
      </c>
      <c r="B71" s="19" t="s">
        <v>217</v>
      </c>
      <c r="C71" s="8" t="s">
        <v>218</v>
      </c>
      <c r="D71" s="86" t="s">
        <v>44</v>
      </c>
      <c r="E71" s="114" t="s">
        <v>61</v>
      </c>
      <c r="F71" s="40">
        <v>45523</v>
      </c>
      <c r="G71" s="103" t="s">
        <v>144</v>
      </c>
      <c r="H71" s="32" t="s">
        <v>74</v>
      </c>
      <c r="I71" s="36" t="s">
        <v>63</v>
      </c>
      <c r="J71" s="325">
        <v>45600</v>
      </c>
      <c r="K71" s="3">
        <v>45490</v>
      </c>
      <c r="L71" s="87"/>
      <c r="M71" s="3">
        <v>46584</v>
      </c>
      <c r="N71" s="27">
        <f t="shared" si="130"/>
        <v>46493</v>
      </c>
      <c r="O71" s="269">
        <v>45498</v>
      </c>
      <c r="P71" s="15">
        <v>45614</v>
      </c>
      <c r="Q71" s="87"/>
      <c r="R71" s="27">
        <f t="shared" ref="R71" si="140">DATE(YEAR(P71)+5,MONTH(P71),DAY(P71)-1)</f>
        <v>47439</v>
      </c>
      <c r="S71" s="27">
        <f t="shared" ref="S71" si="141">DATE(YEAR(R71),MONTH(R71)-3,DAY(R71))</f>
        <v>47347</v>
      </c>
      <c r="T71" s="26">
        <v>45485</v>
      </c>
      <c r="U71" s="12"/>
      <c r="V71" s="89">
        <v>46063</v>
      </c>
      <c r="W71" s="9">
        <v>47158</v>
      </c>
      <c r="X71" s="9">
        <f t="shared" si="133"/>
        <v>47066</v>
      </c>
      <c r="Y71" s="106"/>
      <c r="Z71" s="42">
        <v>45497</v>
      </c>
      <c r="AA71" s="27"/>
      <c r="AB71" s="27">
        <f t="shared" ref="AB71" si="142">DATE(YEAR(Z71)+5,MONTH(Z71),DAY(Z71)-1)</f>
        <v>47322</v>
      </c>
      <c r="AC71" s="12">
        <f t="shared" ref="AC71" si="143">DATE(YEAR(AB71),MONTH(AB71)-3,DAY(AB71))</f>
        <v>47231</v>
      </c>
      <c r="AD71" s="26">
        <v>45483</v>
      </c>
      <c r="AE71" s="12"/>
      <c r="AF71" s="42">
        <f t="shared" ref="AF71" si="144">DATE(YEAR(AD71)+10,MONTH(AD71),DAY(AD71)-1)</f>
        <v>49134</v>
      </c>
      <c r="AG71" s="27">
        <f t="shared" ref="AG71" si="145">DATE(YEAR(AF71),MONTH(AF71)-3,DAY(AF71))</f>
        <v>49043</v>
      </c>
      <c r="AH71" s="82"/>
      <c r="AI71" s="83"/>
      <c r="AJ71" s="84"/>
      <c r="AK71" s="85"/>
      <c r="AL71" s="82"/>
      <c r="AM71" s="83"/>
      <c r="AN71" s="84"/>
      <c r="AO71" s="72"/>
      <c r="AP71" s="82" t="s">
        <v>214</v>
      </c>
      <c r="AQ71" s="82"/>
      <c r="AR71" s="82"/>
      <c r="AS71" s="84"/>
      <c r="AT71" s="84"/>
      <c r="AU71" s="208"/>
      <c r="AV71" s="26">
        <v>45688</v>
      </c>
      <c r="AW71" s="11"/>
      <c r="AX71" s="9">
        <v>46418</v>
      </c>
      <c r="AY71" s="16">
        <v>46356</v>
      </c>
      <c r="AZ71" s="61"/>
      <c r="BA71" s="3"/>
      <c r="BB71" s="16"/>
      <c r="BC71" s="287"/>
      <c r="BD71" s="61"/>
      <c r="BE71" s="3"/>
      <c r="BF71" s="3"/>
      <c r="BG71" s="198"/>
      <c r="BH71" s="207"/>
    </row>
    <row r="72" spans="1:60" s="168" customFormat="1" x14ac:dyDescent="0.3">
      <c r="A72">
        <f t="shared" si="20"/>
        <v>65</v>
      </c>
      <c r="B72" s="19" t="s">
        <v>219</v>
      </c>
      <c r="C72" s="8" t="s">
        <v>220</v>
      </c>
      <c r="D72" s="129" t="s">
        <v>44</v>
      </c>
      <c r="E72" s="130" t="s">
        <v>61</v>
      </c>
      <c r="F72" s="131">
        <v>45593</v>
      </c>
      <c r="G72" s="174" t="s">
        <v>62</v>
      </c>
      <c r="H72" s="32" t="s">
        <v>47</v>
      </c>
      <c r="I72" s="73" t="s">
        <v>55</v>
      </c>
      <c r="J72" s="177">
        <v>45758</v>
      </c>
      <c r="K72" s="181">
        <v>45610</v>
      </c>
      <c r="L72" s="75"/>
      <c r="M72" s="134"/>
      <c r="N72" s="116"/>
      <c r="O72" s="269">
        <v>45617</v>
      </c>
      <c r="P72" s="74">
        <v>45604</v>
      </c>
      <c r="Q72" s="147"/>
      <c r="R72" s="27">
        <f t="shared" ref="R72" si="146">DATE(YEAR(P72)+5,MONTH(P72),DAY(P72)-1)</f>
        <v>47429</v>
      </c>
      <c r="S72" s="27">
        <f t="shared" ref="S72" si="147">DATE(YEAR(R72),MONTH(R72)-3,DAY(R72))</f>
        <v>47337</v>
      </c>
      <c r="T72" s="66">
        <v>45596</v>
      </c>
      <c r="U72" s="148"/>
      <c r="V72" s="89">
        <v>46087</v>
      </c>
      <c r="W72" s="89">
        <v>47182</v>
      </c>
      <c r="X72" s="9">
        <f t="shared" ref="X72" si="148">DATE(YEAR(W72),MONTH(W72)-3,DAY(W72))</f>
        <v>47092</v>
      </c>
      <c r="Y72" s="66">
        <v>45595</v>
      </c>
      <c r="Z72" s="89">
        <v>45595</v>
      </c>
      <c r="AA72" s="148"/>
      <c r="AB72" s="9">
        <f t="shared" ref="AB72" si="149">DATE(YEAR(Y72)+5,MONTH(Y72),DAY(Y72)-1)</f>
        <v>47420</v>
      </c>
      <c r="AC72" s="12">
        <f t="shared" ref="AC72" si="150">DATE(YEAR(AB72),MONTH(AB72)-3,DAY(AB72))</f>
        <v>47328</v>
      </c>
      <c r="AD72" s="66">
        <v>45616</v>
      </c>
      <c r="AE72" s="163"/>
      <c r="AF72" s="42">
        <f t="shared" ref="AF72" si="151">DATE(YEAR(AD72)+10,MONTH(AD72),DAY(AD72)-1)</f>
        <v>49267</v>
      </c>
      <c r="AG72" s="3">
        <f t="shared" ref="AG72" si="152">DATE(YEAR(AF72),MONTH(AF72)-3,DAY(AF72))</f>
        <v>49175</v>
      </c>
      <c r="AH72" s="165"/>
      <c r="AI72" s="166"/>
      <c r="AJ72" s="167"/>
      <c r="AK72" s="164"/>
      <c r="AL72" s="165"/>
      <c r="AM72" s="166"/>
      <c r="AN72" s="167"/>
      <c r="AO72" s="162"/>
      <c r="AP72" s="165"/>
      <c r="AQ72" s="165"/>
      <c r="AR72" s="165"/>
      <c r="AS72" s="167"/>
      <c r="AT72" s="167"/>
      <c r="AU72" s="209"/>
      <c r="AV72" s="165"/>
      <c r="AW72" s="166"/>
      <c r="AX72" s="167"/>
      <c r="AY72" s="282"/>
      <c r="AZ72" s="279"/>
      <c r="BA72" s="218"/>
      <c r="BB72" s="292"/>
      <c r="BC72" s="289"/>
      <c r="BD72" s="279"/>
      <c r="BE72" s="218"/>
      <c r="BF72" s="218"/>
      <c r="BG72" s="200"/>
      <c r="BH72" s="259"/>
    </row>
    <row r="73" spans="1:60" s="117" customFormat="1" x14ac:dyDescent="0.3">
      <c r="A73">
        <f t="shared" si="20"/>
        <v>66</v>
      </c>
      <c r="B73" s="19" t="s">
        <v>221</v>
      </c>
      <c r="C73" s="8" t="s">
        <v>222</v>
      </c>
      <c r="D73" s="129" t="s">
        <v>68</v>
      </c>
      <c r="E73" s="130" t="s">
        <v>223</v>
      </c>
      <c r="F73" s="131">
        <v>45537</v>
      </c>
      <c r="G73" s="34" t="s">
        <v>70</v>
      </c>
      <c r="H73" s="35" t="s">
        <v>58</v>
      </c>
      <c r="I73" s="132" t="s">
        <v>63</v>
      </c>
      <c r="J73" s="177">
        <v>45589</v>
      </c>
      <c r="K73" s="15">
        <v>45730</v>
      </c>
      <c r="L73" s="87"/>
      <c r="M73" s="3">
        <v>46825</v>
      </c>
      <c r="N73" s="27">
        <f t="shared" si="130"/>
        <v>46734</v>
      </c>
      <c r="O73" s="268">
        <v>45761</v>
      </c>
      <c r="P73" s="15">
        <v>45919</v>
      </c>
      <c r="Q73" s="125"/>
      <c r="R73" s="27">
        <f t="shared" ref="R73" si="153">DATE(YEAR(P73)+5,MONTH(P73),DAY(P73)-1)</f>
        <v>47744</v>
      </c>
      <c r="S73" s="27">
        <f t="shared" ref="S73" si="154">DATE(YEAR(R73),MONTH(R73)-3,DAY(R73))</f>
        <v>47652</v>
      </c>
      <c r="T73" s="121"/>
      <c r="U73" s="126"/>
      <c r="V73" s="122"/>
      <c r="W73" s="27"/>
      <c r="X73" s="9"/>
      <c r="Y73" s="193"/>
      <c r="Z73" s="122"/>
      <c r="AA73" s="116"/>
      <c r="AB73" s="118"/>
      <c r="AC73" s="127"/>
      <c r="AD73" s="121"/>
      <c r="AE73" s="119"/>
      <c r="AF73" s="122"/>
      <c r="AG73" s="116"/>
      <c r="AH73" s="124"/>
      <c r="AI73" s="123"/>
      <c r="AJ73" s="120"/>
      <c r="AK73" s="122"/>
      <c r="AL73" s="124"/>
      <c r="AM73" s="123"/>
      <c r="AN73" s="120"/>
      <c r="AO73" s="116"/>
      <c r="AP73" s="124"/>
      <c r="AQ73" s="124"/>
      <c r="AR73" s="124"/>
      <c r="AS73" s="120"/>
      <c r="AT73" s="120"/>
      <c r="AU73" s="210"/>
      <c r="AV73" s="124"/>
      <c r="AW73" s="123"/>
      <c r="AX73" s="120"/>
      <c r="AY73" s="283"/>
      <c r="AZ73" s="280"/>
      <c r="BA73" s="219"/>
      <c r="BB73" s="293"/>
      <c r="BC73" s="280"/>
      <c r="BD73" s="280"/>
      <c r="BE73" s="219"/>
      <c r="BF73" s="219"/>
      <c r="BG73" s="204"/>
      <c r="BH73" s="260"/>
    </row>
    <row r="74" spans="1:60" x14ac:dyDescent="0.3">
      <c r="A74">
        <f t="shared" si="20"/>
        <v>67</v>
      </c>
      <c r="B74" s="19" t="s">
        <v>224</v>
      </c>
      <c r="C74" s="8" t="s">
        <v>225</v>
      </c>
      <c r="D74" s="8" t="s">
        <v>68</v>
      </c>
      <c r="E74" s="111" t="s">
        <v>223</v>
      </c>
      <c r="F74" s="40">
        <v>45201</v>
      </c>
      <c r="G74" s="34" t="s">
        <v>70</v>
      </c>
      <c r="H74" s="35" t="s">
        <v>58</v>
      </c>
      <c r="I74" s="36" t="s">
        <v>63</v>
      </c>
      <c r="J74" s="253">
        <v>45261</v>
      </c>
      <c r="K74" s="15">
        <v>45317</v>
      </c>
      <c r="L74" s="3"/>
      <c r="M74" s="3">
        <v>46412</v>
      </c>
      <c r="N74" s="27">
        <f t="shared" si="130"/>
        <v>46320</v>
      </c>
      <c r="O74" s="269">
        <v>45621</v>
      </c>
      <c r="P74" s="15">
        <v>45436</v>
      </c>
      <c r="Q74" s="3"/>
      <c r="R74" s="27">
        <f t="shared" si="21"/>
        <v>47261</v>
      </c>
      <c r="S74" s="27">
        <f t="shared" si="139"/>
        <v>47172</v>
      </c>
      <c r="T74" s="26">
        <v>45635</v>
      </c>
      <c r="U74" s="50"/>
      <c r="V74" s="7"/>
      <c r="W74" s="9">
        <v>46729</v>
      </c>
      <c r="X74" s="16">
        <f t="shared" si="133"/>
        <v>46638</v>
      </c>
      <c r="Y74" s="48"/>
      <c r="Z74" s="7"/>
      <c r="AA74" s="7"/>
      <c r="AB74" s="76"/>
      <c r="AC74" s="27"/>
      <c r="AD74" s="17"/>
      <c r="AE74" s="11"/>
      <c r="AF74" s="42"/>
      <c r="AG74" s="27"/>
      <c r="AH74" s="17"/>
      <c r="AI74" s="11"/>
      <c r="AJ74" s="7"/>
      <c r="AK74" s="7"/>
      <c r="AL74" s="17"/>
      <c r="AM74" s="11"/>
      <c r="AN74" s="7"/>
      <c r="AO74" s="50"/>
      <c r="AP74" s="17"/>
      <c r="AQ74" s="17"/>
      <c r="AR74" s="17"/>
      <c r="AS74" s="7"/>
      <c r="AT74" s="7"/>
      <c r="AU74" s="71"/>
      <c r="AV74" s="17"/>
      <c r="AW74" s="11"/>
      <c r="AX74" s="7"/>
      <c r="AY74" s="71"/>
      <c r="AZ74" s="11"/>
      <c r="BA74" s="7"/>
      <c r="BB74" s="71"/>
      <c r="BC74" s="290"/>
      <c r="BD74" s="11"/>
      <c r="BE74" s="7"/>
      <c r="BF74" s="7"/>
      <c r="BG74" s="203"/>
      <c r="BH74" s="206"/>
    </row>
    <row r="75" spans="1:60" x14ac:dyDescent="0.3">
      <c r="A75">
        <f t="shared" ref="A75" si="155">A74+1</f>
        <v>68</v>
      </c>
      <c r="B75" s="225" t="s">
        <v>226</v>
      </c>
      <c r="C75" s="8" t="s">
        <v>227</v>
      </c>
      <c r="D75" s="20" t="s">
        <v>44</v>
      </c>
      <c r="E75" s="109" t="s">
        <v>90</v>
      </c>
      <c r="F75" s="40">
        <v>44613</v>
      </c>
      <c r="G75" s="101" t="s">
        <v>127</v>
      </c>
      <c r="H75" s="32" t="s">
        <v>47</v>
      </c>
      <c r="I75" s="105" t="s">
        <v>55</v>
      </c>
      <c r="J75" s="253">
        <v>46125</v>
      </c>
      <c r="K75" s="15">
        <v>44580</v>
      </c>
      <c r="L75" s="3">
        <v>45678</v>
      </c>
      <c r="M75" s="2">
        <v>46772</v>
      </c>
      <c r="N75" s="27">
        <f t="shared" si="130"/>
        <v>46680</v>
      </c>
      <c r="O75" s="269">
        <v>45397</v>
      </c>
      <c r="P75" s="15">
        <v>44603</v>
      </c>
      <c r="Q75" s="21">
        <v>45989</v>
      </c>
      <c r="R75" s="27">
        <f>DATE(YEAR(Q75)+5,MONTH(P75),DAY(P75)-1)</f>
        <v>47524</v>
      </c>
      <c r="S75" s="27">
        <f t="shared" si="139"/>
        <v>47432</v>
      </c>
      <c r="T75" s="13">
        <v>44593</v>
      </c>
      <c r="U75" s="79">
        <v>44593</v>
      </c>
      <c r="V75" s="2">
        <v>45742</v>
      </c>
      <c r="W75" s="9">
        <v>46837</v>
      </c>
      <c r="X75" s="41">
        <f>DATE(YEAR(W75),MONTH(W75)-3,DAY(W75))</f>
        <v>46746</v>
      </c>
      <c r="Y75" s="10">
        <v>45784</v>
      </c>
      <c r="Z75" s="9">
        <v>44602</v>
      </c>
      <c r="AA75" s="9"/>
      <c r="AB75" s="76">
        <f t="shared" ref="AB75:AB77" si="156">DATE(YEAR(Z75)+5,MONTH(Z75),DAY(Z75)-1)</f>
        <v>46427</v>
      </c>
      <c r="AC75" s="27">
        <f>DATE(YEAR(AB75),MONTH(AB75)-3,DAY(AB75))</f>
        <v>46335</v>
      </c>
      <c r="AD75" s="26">
        <v>44609</v>
      </c>
      <c r="AE75" s="12"/>
      <c r="AF75" s="42">
        <f t="shared" si="34"/>
        <v>48260</v>
      </c>
      <c r="AG75" s="27">
        <f>DATE(YEAR(AF75),MONTH(AF75)-3,DAY(AF75))</f>
        <v>48168</v>
      </c>
      <c r="AH75" s="265" t="s">
        <v>245</v>
      </c>
      <c r="AI75" s="12"/>
      <c r="AJ75" s="9"/>
      <c r="AK75" s="42"/>
      <c r="AL75" s="26"/>
      <c r="AM75" s="12"/>
      <c r="AN75" s="9"/>
      <c r="AO75" s="27"/>
      <c r="AP75" s="26"/>
      <c r="AQ75" s="26"/>
      <c r="AR75" s="26">
        <v>46052</v>
      </c>
      <c r="AS75" s="9"/>
      <c r="AT75" s="27">
        <v>46416</v>
      </c>
      <c r="AU75" s="41">
        <v>46324</v>
      </c>
      <c r="AV75" s="13">
        <v>45674</v>
      </c>
      <c r="AW75" s="10"/>
      <c r="AX75" s="27">
        <v>46404</v>
      </c>
      <c r="AY75" s="16">
        <v>46343</v>
      </c>
      <c r="AZ75" s="61"/>
      <c r="BA75" s="3"/>
      <c r="BB75" s="16"/>
      <c r="BC75" s="287"/>
      <c r="BD75" s="61"/>
      <c r="BE75" s="3"/>
      <c r="BF75" s="3"/>
      <c r="BG75" s="198"/>
      <c r="BH75" s="206"/>
    </row>
    <row r="76" spans="1:60" x14ac:dyDescent="0.3">
      <c r="A76">
        <f t="shared" ref="A76:A77" si="157">A75+1</f>
        <v>69</v>
      </c>
      <c r="B76" s="19" t="s">
        <v>228</v>
      </c>
      <c r="C76" s="8" t="s">
        <v>229</v>
      </c>
      <c r="D76" s="20" t="s">
        <v>93</v>
      </c>
      <c r="E76" s="109" t="s">
        <v>167</v>
      </c>
      <c r="F76" s="40">
        <v>45110</v>
      </c>
      <c r="G76" s="101" t="s">
        <v>131</v>
      </c>
      <c r="H76" s="104" t="s">
        <v>70</v>
      </c>
      <c r="I76" s="105" t="s">
        <v>63</v>
      </c>
      <c r="J76" s="70">
        <v>45160</v>
      </c>
      <c r="K76" s="15">
        <v>45671</v>
      </c>
      <c r="L76" s="3"/>
      <c r="M76" s="3">
        <v>46400</v>
      </c>
      <c r="N76" s="27">
        <f t="shared" si="130"/>
        <v>46308</v>
      </c>
      <c r="O76" s="269"/>
      <c r="P76" s="15"/>
      <c r="Q76" s="3"/>
      <c r="R76" s="27"/>
      <c r="S76" s="27"/>
      <c r="T76" s="13"/>
      <c r="U76" s="79"/>
      <c r="V76" s="2"/>
      <c r="W76" s="10"/>
      <c r="X76" s="41"/>
      <c r="Y76" s="12"/>
      <c r="Z76" s="12"/>
      <c r="AA76" s="9"/>
      <c r="AB76" s="76"/>
      <c r="AC76" s="27"/>
      <c r="AD76" s="26"/>
      <c r="AE76" s="12"/>
      <c r="AF76" s="42"/>
      <c r="AG76" s="27"/>
      <c r="AH76" s="26"/>
      <c r="AI76" s="12"/>
      <c r="AJ76" s="9"/>
      <c r="AK76" s="42"/>
      <c r="AL76" s="26"/>
      <c r="AM76" s="12"/>
      <c r="AN76" s="9"/>
      <c r="AO76" s="27"/>
      <c r="AP76" s="26"/>
      <c r="AQ76" s="26"/>
      <c r="AR76" s="26"/>
      <c r="AS76" s="9"/>
      <c r="AT76" s="9"/>
      <c r="AU76" s="70"/>
      <c r="AV76" s="26">
        <v>45688</v>
      </c>
      <c r="AW76" s="11"/>
      <c r="AX76" s="9">
        <v>46418</v>
      </c>
      <c r="AY76" s="16">
        <v>46356</v>
      </c>
      <c r="AZ76" s="61"/>
      <c r="BA76" s="3"/>
      <c r="BB76" s="16"/>
      <c r="BC76" s="61"/>
      <c r="BD76" s="61"/>
      <c r="BE76" s="3"/>
      <c r="BF76" s="3"/>
      <c r="BG76" s="198"/>
      <c r="BH76" s="206"/>
    </row>
    <row r="77" spans="1:60" x14ac:dyDescent="0.3">
      <c r="A77">
        <f t="shared" si="157"/>
        <v>70</v>
      </c>
      <c r="B77" s="19" t="s">
        <v>230</v>
      </c>
      <c r="C77" s="8" t="s">
        <v>231</v>
      </c>
      <c r="D77" s="20" t="s">
        <v>44</v>
      </c>
      <c r="E77" s="109" t="s">
        <v>61</v>
      </c>
      <c r="F77" s="40">
        <v>44718</v>
      </c>
      <c r="G77" s="34" t="s">
        <v>141</v>
      </c>
      <c r="H77" s="35" t="s">
        <v>142</v>
      </c>
      <c r="I77" s="36" t="s">
        <v>55</v>
      </c>
      <c r="J77" s="70">
        <v>45691</v>
      </c>
      <c r="K77" s="15">
        <v>44692</v>
      </c>
      <c r="L77" s="3">
        <v>45736</v>
      </c>
      <c r="M77" s="3">
        <v>46831</v>
      </c>
      <c r="N77" s="27">
        <f>DATE(YEAR(M77),MONTH(M77)-3,DAY(M77))</f>
        <v>46740</v>
      </c>
      <c r="O77" s="65">
        <v>45736</v>
      </c>
      <c r="P77" s="15">
        <v>44694</v>
      </c>
      <c r="Q77" s="3"/>
      <c r="R77" s="27">
        <f t="shared" ref="R77" si="158">DATE(YEAR(P77)+5,MONTH(P77),DAY(P77)-1)</f>
        <v>46519</v>
      </c>
      <c r="S77" s="27">
        <f>DATE(YEAR(R77),MONTH(R77)-3,DAY(R77))</f>
        <v>46430</v>
      </c>
      <c r="T77" s="26">
        <v>44697</v>
      </c>
      <c r="U77" s="9">
        <v>44697</v>
      </c>
      <c r="V77" s="89">
        <v>46087</v>
      </c>
      <c r="W77" s="89">
        <v>47182</v>
      </c>
      <c r="X77" s="276">
        <f>DATE(YEAR(W77),MONTH(W77)-3,DAY(W77))</f>
        <v>47092</v>
      </c>
      <c r="Y77" s="12"/>
      <c r="Z77" s="9">
        <v>44700</v>
      </c>
      <c r="AA77" s="9"/>
      <c r="AB77" s="76">
        <f t="shared" si="156"/>
        <v>46525</v>
      </c>
      <c r="AC77" s="27">
        <f>DATE(YEAR(AB77),MONTH(AB77)-3,DAY(AB77))</f>
        <v>46436</v>
      </c>
      <c r="AD77" s="26">
        <v>44685</v>
      </c>
      <c r="AE77" s="12"/>
      <c r="AF77" s="42">
        <f t="shared" ref="AF77" si="159">DATE(YEAR(AD77)+10,MONTH(AD77),DAY(AD77)-1)</f>
        <v>48337</v>
      </c>
      <c r="AG77" s="27">
        <f>DATE(YEAR(AF77),MONTH(AF77)-3,DAY(AF77))</f>
        <v>48247</v>
      </c>
      <c r="AH77" s="26"/>
      <c r="AI77" s="12"/>
      <c r="AJ77" s="9"/>
      <c r="AK77" s="3"/>
      <c r="AL77" s="26"/>
      <c r="AM77" s="12"/>
      <c r="AN77" s="9"/>
      <c r="AO77" s="27"/>
      <c r="AP77" s="26"/>
      <c r="AQ77" s="26"/>
      <c r="AR77" s="26"/>
      <c r="AS77" s="9"/>
      <c r="AT77" s="9"/>
      <c r="AU77" s="70"/>
      <c r="AV77" s="26"/>
      <c r="AW77" s="12"/>
      <c r="AX77" s="9"/>
      <c r="AY77" s="41"/>
      <c r="AZ77" s="61"/>
      <c r="BA77" s="3"/>
      <c r="BB77" s="16"/>
      <c r="BC77" s="291"/>
      <c r="BD77" s="3"/>
      <c r="BE77" s="3"/>
      <c r="BF77" s="3"/>
      <c r="BG77" s="198"/>
      <c r="BH77" s="206"/>
    </row>
    <row r="78" spans="1:60" x14ac:dyDescent="0.3">
      <c r="BH78" s="254"/>
    </row>
    <row r="79" spans="1:60" x14ac:dyDescent="0.3">
      <c r="B79" s="51" t="s">
        <v>232</v>
      </c>
      <c r="C79" s="52"/>
      <c r="BH79" s="254"/>
    </row>
    <row r="80" spans="1:60" x14ac:dyDescent="0.3">
      <c r="B80" s="53" t="s">
        <v>233</v>
      </c>
      <c r="C80" s="54"/>
      <c r="BH80" s="254"/>
    </row>
    <row r="81" spans="2:39" x14ac:dyDescent="0.3">
      <c r="B81" s="55" t="s">
        <v>234</v>
      </c>
      <c r="C81" s="55"/>
      <c r="V81" s="59"/>
    </row>
    <row r="83" spans="2:39" x14ac:dyDescent="0.3">
      <c r="B83" s="58" t="s">
        <v>235</v>
      </c>
      <c r="C83" s="57"/>
      <c r="AM83" t="s">
        <v>236</v>
      </c>
    </row>
    <row r="86" spans="2:39" x14ac:dyDescent="0.3">
      <c r="F86" s="222"/>
    </row>
  </sheetData>
  <autoFilter ref="A6:BH77" xr:uid="{8FF0C67C-A886-4219-B2E6-B6D700BAB2F8}">
    <filterColumn colId="24" showButton="0"/>
    <filterColumn colId="54" showButton="0"/>
  </autoFilter>
  <mergeCells count="15">
    <mergeCell ref="BH5:BH7"/>
    <mergeCell ref="D1:AG1"/>
    <mergeCell ref="K5:O5"/>
    <mergeCell ref="P5:S5"/>
    <mergeCell ref="Y5:AC5"/>
    <mergeCell ref="AD5:AG5"/>
    <mergeCell ref="Y6:Z6"/>
    <mergeCell ref="AV5:AY5"/>
    <mergeCell ref="AH5:AK5"/>
    <mergeCell ref="T5:X5"/>
    <mergeCell ref="AL5:AO5"/>
    <mergeCell ref="AR5:AU5"/>
    <mergeCell ref="AZ5:BB5"/>
    <mergeCell ref="BC5:BF5"/>
    <mergeCell ref="BC6:BD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E0D8B24544D84783790A6E0F4CD0E1" ma:contentTypeVersion="13" ma:contentTypeDescription="Crée un document." ma:contentTypeScope="" ma:versionID="d6632f84982ca7ae9f6d2b2bef485064">
  <xsd:schema xmlns:xsd="http://www.w3.org/2001/XMLSchema" xmlns:xs="http://www.w3.org/2001/XMLSchema" xmlns:p="http://schemas.microsoft.com/office/2006/metadata/properties" xmlns:ns2="363ed4c6-aece-4533-b487-2c8b5cdeeeec" xmlns:ns3="80649ab1-4199-4fd3-bd5a-ed30b92b29a0" targetNamespace="http://schemas.microsoft.com/office/2006/metadata/properties" ma:root="true" ma:fieldsID="c73a29844855debfb4e4d8c0e8ff291d" ns2:_="" ns3:_="">
    <xsd:import namespace="363ed4c6-aece-4533-b487-2c8b5cdeeeec"/>
    <xsd:import namespace="80649ab1-4199-4fd3-bd5a-ed30b92b2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ed4c6-aece-4533-b487-2c8b5cdee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ad60bf2d-3fab-40ac-ac22-ba5bad5193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49ab1-4199-4fd3-bd5a-ed30b92b29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22e5595-9b12-4bfe-8cf0-604be360eda9}" ma:internalName="TaxCatchAll" ma:showField="CatchAllData" ma:web="80649ab1-4199-4fd3-bd5a-ed30b92b2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649ab1-4199-4fd3-bd5a-ed30b92b29a0" xsi:nil="true"/>
    <lcf76f155ced4ddcb4097134ff3c332f xmlns="363ed4c6-aece-4533-b487-2c8b5cdeee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2115A-AD7D-4F40-BC08-16BEDFD70B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3ed4c6-aece-4533-b487-2c8b5cdeeeec"/>
    <ds:schemaRef ds:uri="80649ab1-4199-4fd3-bd5a-ed30b92b2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A0A510-1FEC-47A7-BEA2-6AAF2BC020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5B27E-C46E-45DA-AFEE-E81A054800A9}">
  <ds:schemaRefs>
    <ds:schemaRef ds:uri="http://schemas.microsoft.com/office/2006/metadata/properties"/>
    <ds:schemaRef ds:uri="http://schemas.microsoft.com/office/infopath/2007/PartnerControls"/>
    <ds:schemaRef ds:uri="80649ab1-4199-4fd3-bd5a-ed30b92b29a0"/>
    <ds:schemaRef ds:uri="363ed4c6-aece-4533-b487-2c8b5cdeee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Synthese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Maud CORDELLIER</dc:creator>
  <cp:keywords/>
  <dc:description/>
  <cp:lastModifiedBy>Maud CORDELLIER</cp:lastModifiedBy>
  <cp:revision/>
  <dcterms:created xsi:type="dcterms:W3CDTF">2024-03-13T11:19:19Z</dcterms:created>
  <dcterms:modified xsi:type="dcterms:W3CDTF">2026-05-28T10:10:15Z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0x01010078E0D8B24544D84783790A6E0F4CD0E1</vt:lpwstr>
  </property>
  <property fmtid="{D5CDD505-2E9C-101B-9397-08002B2CF9AE}" pid="3" name="Order">
    <vt:r8>16400</vt:r8>
  </property>
  <property fmtid="{D5CDD505-2E9C-101B-9397-08002B2CF9AE}" pid="4" name="MediaServiceImageTags">
    <vt:lpwstr/>
  </property>
</Properties>
</file>